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854111abf44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9fc4fe1ebb742dd"/>
    <x:sheet xmlns:r="http://schemas.openxmlformats.org/officeDocument/2006/relationships" name="Funnel Data" sheetId="2" r:id="R9d650cbb43784fab"/>
    <x:sheet xmlns:r="http://schemas.openxmlformats.org/officeDocument/2006/relationships" name="Booking Data" sheetId="3" r:id="R94ca2ac2f87c45b2"/>
    <x:sheet xmlns:r="http://schemas.openxmlformats.org/officeDocument/2006/relationships" name="PostHog Event Plan" sheetId="4" r:id="R6a9a664115a84ee0"/>
    <x:sheet xmlns:r="http://schemas.openxmlformats.org/officeDocument/2006/relationships" name="Metric Dictionary" sheetId="5" r:id="Ra36cd113f3b64ad6"/>
    <x:sheet xmlns:r="http://schemas.openxmlformats.org/officeDocument/2006/relationships" name="Dify Insight Log" sheetId="6" r:id="Rcb23eb6ad2da415c"/>
    <x:sheet xmlns:r="http://schemas.openxmlformats.org/officeDocument/2006/relationships" name="Setup Guide" sheetId="7" r:id="R07ea562092da45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yyyy-mm-dd"/>
    <x:numFmt numFmtId="202" formatCode="₹#,##0"/>
    <x:numFmt numFmtId="203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B3D2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5132"/>
      </x:patternFill>
    </x:fill>
    <x:fill>
      <x:patternFill patternType="solid">
        <x:fgColor rgb="FF0B3D2E"/>
      </x:patternFill>
    </x:fill>
    <x:fill>
      <x:patternFill patternType="solid">
        <x:fgColor rgb="FFE6F4EA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c6a6df4eff499f" /><Relationship Type="http://schemas.openxmlformats.org/officeDocument/2006/relationships/theme" Target="/xl/theme/theme1.xml" Id="Ra9d7d72034d84caa" /><Relationship Type="http://schemas.openxmlformats.org/officeDocument/2006/relationships/sharedStrings" Target="/xl/sharedStrings.xml" Id="R29403df0f6014825" /><Relationship Type="http://schemas.openxmlformats.org/officeDocument/2006/relationships/worksheet" Target="/xl/worksheets/sheet1.xml" Id="R69fc4fe1ebb742dd" /><Relationship Type="http://schemas.openxmlformats.org/officeDocument/2006/relationships/worksheet" Target="/xl/worksheets/sheet2.xml" Id="R9d650cbb43784fab" /><Relationship Type="http://schemas.openxmlformats.org/officeDocument/2006/relationships/worksheet" Target="/xl/worksheets/sheet3.xml" Id="R94ca2ac2f87c45b2" /><Relationship Type="http://schemas.openxmlformats.org/officeDocument/2006/relationships/worksheet" Target="/xl/worksheets/sheet4.xml" Id="R6a9a664115a84ee0" /><Relationship Type="http://schemas.openxmlformats.org/officeDocument/2006/relationships/worksheet" Target="/xl/worksheets/sheet5.xml" Id="Ra36cd113f3b64ad6" /><Relationship Type="http://schemas.openxmlformats.org/officeDocument/2006/relationships/worksheet" Target="/xl/worksheets/sheet6.xml" Id="Rcb23eb6ad2da415c" /><Relationship Type="http://schemas.openxmlformats.org/officeDocument/2006/relationships/worksheet" Target="/xl/worksheets/sheet7.xml" Id="R07ea562092da4521" /></Relationships>
</file>

<file path=xl/tables/table1.xml><?xml version="1.0" encoding="utf-8"?>
<x:table xmlns:x="http://schemas.openxmlformats.org/spreadsheetml/2006/main" id="1" name="FunnelTable" displayName="FunnelTable" ref="A1:F7" headerRowCount="1">
  <x:tableColumns count="6">
    <x:tableColumn id="1" name="Stage"/>
    <x:tableColumn id="2" name="Events"/>
    <x:tableColumn id="3" name="Count"/>
    <x:tableColumn id="4" name="Conversion from Previous"/>
    <x:tableColumn id="5" name="Drop-off"/>
    <x:tableColumn id="6" name="Product Question"/>
  </x:tableColumns>
  <x:tableStyleInfo name="TableStyleMedium2" showRowStripes="1"/>
</x:table>
</file>

<file path=xl/tables/table2.xml><?xml version="1.0" encoding="utf-8"?>
<x:table xmlns:x="http://schemas.openxmlformats.org/spreadsheetml/2006/main" id="2" name="BookingTable" displayName="BookingTable" ref="A1:O730" headerRowCount="1">
  <x:tableColumns count="15">
    <x:tableColumn id="1" name="Booking ID"/>
    <x:tableColumn id="2" name="Date"/>
    <x:tableColumn id="3" name="Persona"/>
    <x:tableColumn id="4" name="User ID"/>
    <x:tableColumn id="5" name="Source"/>
    <x:tableColumn id="6" name="Destination City"/>
    <x:tableColumn id="7" name="Craft Interest"/>
    <x:tableColumn id="8" name="Participants"/>
    <x:tableColumn id="9" name="Price / Person"/>
    <x:tableColumn id="10" name="Status"/>
    <x:tableColumn id="11" name="Gross Booking Value"/>
    <x:tableColumn id="12" name="Artisan Payout"/>
    <x:tableColumn id="13" name="Rating"/>
    <x:tableColumn id="14" name="Repeat Customer"/>
    <x:tableColumn id="15" name="Assigned Team"/>
  </x:tableColumns>
  <x:tableStyleInfo name="TableStyleMedium2" showRowStripes="1"/>
</x:table>
</file>

<file path=xl/tables/table3.xml><?xml version="1.0" encoding="utf-8"?>
<x:table xmlns:x="http://schemas.openxmlformats.org/spreadsheetml/2006/main" id="3" name="EventPlanTable" displayName="EventPlanTable" ref="A1:F11" headerRowCount="1">
  <x:tableColumns count="6">
    <x:tableColumn id="1" name="Event Name"/>
    <x:tableColumn id="2" name="Trigger"/>
    <x:tableColumn id="3" name="Key Properties"/>
    <x:tableColumn id="4" name="Business Question"/>
    <x:tableColumn id="5" name="PostHog View"/>
    <x:tableColumn id="6" name="Metric Ris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094b747ee446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42783e20594e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5afea1f47744a2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5" max="5" width="8" hidden="0" customWidth="1"/>
    <x:col min="6" max="6" width="16.25" hidden="0" customWidth="1"/>
    <x:col min="7" max="7" width="10.880000114440918" hidden="0" customWidth="1"/>
    <x:col min="8" max="8" width="16.25" hidden="0" customWidth="1"/>
  </x:cols>
  <x:sheetData>
    <x:row r="1">
      <x:c r="A1" s="25" t="str">
        <x:v>CraftRoots Product Insights Dashboard</x:v>
      </x:c>
      <x:c r="B1" s="25" t="str">
        <x:v>CraftRoots Product Insights Dashboard</x:v>
      </x:c>
      <x:c r="C1" s="25" t="str">
        <x:v>CraftRoots Product Insights Dashboard</x:v>
      </x:c>
      <x:c r="D1" s="25" t="str">
        <x:v>CraftRoots Product Insights Dashboard</x:v>
      </x:c>
      <x:c r="E1" s="25" t="str">
        <x:v>CraftRoots Product Insights Dashboard</x:v>
      </x:c>
      <x:c r="F1" s="25" t="str">
        <x:v>CraftRoots Product Insights Dashboard</x:v>
      </x:c>
      <x:c r="G1" s="25" t="str">
        <x:v>CraftRoots Product Insights Dashboard</x:v>
      </x:c>
      <x:c r="H1" s="25" t="str">
        <x:v>CraftRoots Product Insights Dashboard</x:v>
      </x:c>
    </x:row>
    <x:row r="3">
      <x:c r="A3" s="32" t="str">
        <x:v>North Star Metric</x:v>
      </x:c>
      <x:c r="B3" s="32" t="str">
        <x:v>Monthly Active Bookings</x:v>
      </x:c>
    </x:row>
    <x:row r="5">
      <x:c r="A5" s="6" t="str">
        <x:v>Metric</x:v>
      </x:c>
      <x:c r="B5" s="6" t="str">
        <x:v>Value</x:v>
      </x:c>
      <x:c r="C5" s="6" t="str">
        <x:v>Target / Note</x:v>
      </x:c>
      <x:c r="E5" s="6" t="str">
        <x:v>City</x:v>
      </x:c>
      <x:c r="F5" s="6" t="str">
        <x:v>Completed Bookings</x:v>
      </x:c>
      <x:c r="G5" s="6" t="str">
        <x:v>Craft</x:v>
      </x:c>
      <x:c r="H5" s="6" t="str">
        <x:v>Completed Bookings</x:v>
      </x:c>
    </x:row>
    <x:row r="6">
      <x:c r="A6" t="str">
        <x:v>Monthly Active Bookings</x:v>
      </x:c>
      <x:c r="B6" t="n">
        <x:f>COUNTIF('Booking Data'!J:J,"Completed")</x:f>
        <x:v>658</x:v>
      </x:c>
      <x:c r="C6" t="str">
        <x:v>North Star: completed sessions</x:v>
      </x:c>
      <x:c r="E6" t="str">
        <x:v>Jaipur</x:v>
      </x:c>
      <x:c r="F6" t="n">
        <x:v>141</x:v>
      </x:c>
      <x:c r="G6" t="str">
        <x:v>Blue Pottery</x:v>
      </x:c>
      <x:c r="H6" t="n">
        <x:v>145</x:v>
      </x:c>
    </x:row>
    <x:row r="7">
      <x:c r="A7" t="str">
        <x:v>Gross Booking Value</x:v>
      </x:c>
      <x:c r="B7" s="16" t="n">
        <x:f>SUMIF('Booking Data'!J:J,"Completed",'Booking Data'!K:K)</x:f>
        <x:v>7524300</x:v>
      </x:c>
      <x:c r="C7" t="str">
        <x:v>Revenue demand proxy</x:v>
      </x:c>
      <x:c r="E7" t="str">
        <x:v>Bangalore</x:v>
      </x:c>
      <x:c r="F7" t="n">
        <x:v>140</x:v>
      </x:c>
      <x:c r="G7" t="str">
        <x:v>Warli Painting</x:v>
      </x:c>
      <x:c r="H7" t="n">
        <x:v>142</x:v>
      </x:c>
    </x:row>
    <x:row r="8">
      <x:c r="A8" t="str">
        <x:v>Avg Session Rating</x:v>
      </x:c>
      <x:c r="B8" s="18" t="n">
        <x:f>AVERAGEIF('Booking Data'!J:J,"Completed",'Booking Data'!M:M)</x:f>
        <x:v>4.379483282674779</x:v>
      </x:c>
      <x:c r="C8" t="str">
        <x:v>Quality signal</x:v>
      </x:c>
      <x:c r="E8" t="str">
        <x:v>Khurja</x:v>
      </x:c>
      <x:c r="F8" t="n">
        <x:v>133</x:v>
      </x:c>
      <x:c r="G8" t="str">
        <x:v>Pottery</x:v>
      </x:c>
      <x:c r="H8" t="n">
        <x:v>126</x:v>
      </x:c>
    </x:row>
    <x:row r="9">
      <x:c r="A9" t="str">
        <x:v>Visitor → Completed Booking</x:v>
      </x:c>
      <x:c r="B9" s="12" t="n">
        <x:f>'Funnel Data'!C6/'Funnel Data'!C2</x:f>
        <x:v>0.1912234815460622</x:v>
      </x:c>
      <x:c r="C9" t="str">
        <x:v>Full funnel efficiency</x:v>
      </x:c>
      <x:c r="E9" t="str">
        <x:v>Udaipur</x:v>
      </x:c>
      <x:c r="F9" t="n">
        <x:v>131</x:v>
      </x:c>
      <x:c r="G9" t="str">
        <x:v>Block Printing</x:v>
      </x:c>
      <x:c r="H9" t="n">
        <x:v>125</x:v>
      </x:c>
    </x:row>
    <x:row r="10">
      <x:c r="A10" t="str">
        <x:v>Payment Drop-off</x:v>
      </x:c>
      <x:c r="B10" s="12" t="n">
        <x:f>'Funnel Data'!E5</x:f>
        <x:v>0.27245508982035926</x:v>
      </x:c>
      <x:c r="C10" t="str">
        <x:v>Booking-start to payment risk</x:v>
      </x:c>
      <x:c r="E10" t="str">
        <x:v>Varanasi</x:v>
      </x:c>
      <x:c r="F10" t="n">
        <x:v>113</x:v>
      </x:c>
      <x:c r="G10" t="str">
        <x:v>Weaving</x:v>
      </x:c>
      <x:c r="H10" t="n">
        <x:v>120</x:v>
      </x:c>
    </x:row>
    <x:row r="11">
      <x:c r="A11" t="str">
        <x:v>Repeat Booking Rate</x:v>
      </x:c>
      <x:c r="B11" s="12" t="n">
        <x:f>COUNTIF('Booking Data'!N:N,"Yes")/COUNTA('Booking Data'!A:A)</x:f>
        <x:v>0.2547945205479452</x:v>
      </x:c>
      <x:c r="C11" t="str">
        <x:v>Early retention proxy</x:v>
      </x:c>
    </x:row>
    <x:row r="14">
      <x:c r="A14" s="32" t="str">
        <x:v>Metric Misinterpretation Guardrails</x:v>
      </x:c>
      <x:c r="B14" s="32"/>
      <x:c r="C14" s="32"/>
    </x:row>
    <x:row r="15">
      <x:c r="A15" s="20" t="str">
        <x:v>Do not judge channel quality using total visitors only; compare conversion by source.</x:v>
      </x:c>
      <x:c r="B15" s="20"/>
      <x:c r="C15" s="20"/>
    </x:row>
    <x:row r="16">
      <x:c r="A16" s="20" t="str">
        <x:v>Do not treat payment success as completed bookings; confirm no-shows and cancellations.</x:v>
      </x:c>
      <x:c r="B16" s="20"/>
      <x:c r="C16" s="20"/>
    </x:row>
    <x:row r="17">
      <x:c r="A17" s="20" t="str">
        <x:v>Do not act on average rating without checking review submission rate.</x:v>
      </x:c>
      <x:c r="B17" s="20"/>
      <x:c r="C17" s="20"/>
    </x:row>
    <x:row r="18">
      <x:c r="A18" s="20" t="str">
        <x:v>Do not compare cities without considering craft type, seasonality, and artisan supply.</x:v>
      </x:c>
      <x:c r="B18" s="20"/>
      <x:c r="C18" s="20"/>
    </x:row>
  </x:sheetData>
  <x:mergeCells>
    <x:mergeCell ref="A1:H1"/>
    <x:mergeCell ref="A14:C14"/>
  </x:mergeCells>
  <x:conditionalFormatting sqref="B9:B11">
    <x:cfRule type="dataBar" priority="1">
      <x:dataBar>
        <x:cfvo type="min"/>
        <x:cfvo type="max"/>
        <x:color rgb="FF0F5132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0F5132"/>
            </x14:dataBar>
          </x14:cfRule>
          <xm:sqref>B9:B11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.880000114440918" hidden="0" customWidth="1"/>
    <x:col min="2" max="2" width="19.1299991607666" hidden="0" customWidth="1"/>
    <x:col min="3" max="3" width="5.130000114440918" hidden="0" customWidth="1"/>
    <x:col min="4" max="4" width="20.1299991607666" hidden="0" customWidth="1"/>
    <x:col min="5" max="5" width="7" hidden="0" customWidth="1"/>
    <x:col min="6" max="6" width="34" hidden="0" customWidth="1"/>
  </x:cols>
  <x:sheetData>
    <x:row r="1">
      <x:c r="A1" s="6" t="str">
        <x:v>Stage</x:v>
      </x:c>
      <x:c r="B1" s="6" t="str">
        <x:v>Events</x:v>
      </x:c>
      <x:c r="C1" s="6" t="str">
        <x:v>Count</x:v>
      </x:c>
      <x:c r="D1" s="6" t="str">
        <x:v>Conversion from Previous</x:v>
      </x:c>
      <x:c r="E1" s="6" t="str">
        <x:v>Drop-off</x:v>
      </x:c>
      <x:c r="F1" s="6" t="str">
        <x:v>Product Question</x:v>
      </x:c>
    </x:row>
    <x:row r="2">
      <x:c r="A2" t="str">
        <x:v>Awareness</x:v>
      </x:c>
      <x:c r="B2" t="str">
        <x:v>page_view</x:v>
      </x:c>
      <x:c r="C2" t="n">
        <x:v>3441</x:v>
      </x:c>
      <x:c r="D2" t="str"/>
      <x:c r="E2" t="str"/>
      <x:c r="F2" t="str">
        <x:v>Are enough travelers landing on CraftRoots?</x:v>
      </x:c>
    </x:row>
    <x:row r="3">
      <x:c r="A3" t="str">
        <x:v>Consideration</x:v>
      </x:c>
      <x:c r="B3" t="str">
        <x:v>experience_card_viewed</x:v>
      </x:c>
      <x:c r="C3" t="n">
        <x:v>1813</x:v>
      </x:c>
      <x:c r="D3" s="12" t="n">
        <x:f>C3/C2</x:f>
        <x:v>0.5268817204301075</x:v>
      </x:c>
      <x:c r="E3" s="12" t="n">
        <x:f>1-D3</x:f>
        <x:v>0.4731182795698925</x:v>
      </x:c>
      <x:c r="F3" t="str">
        <x:v>Are visitors engaging with experiences?</x:v>
      </x:c>
    </x:row>
    <x:row r="4">
      <x:c r="A4" t="str">
        <x:v>Decision</x:v>
      </x:c>
      <x:c r="B4" t="str">
        <x:v>booking_started</x:v>
      </x:c>
      <x:c r="C4" t="n">
        <x:v>1002</x:v>
      </x:c>
      <x:c r="D4" s="12" t="n">
        <x:f>C4/C3</x:f>
        <x:v>0.5526751241036956</x:v>
      </x:c>
      <x:c r="E4" s="12" t="n">
        <x:f>1-D4</x:f>
        <x:v>0.44732487589630443</x:v>
      </x:c>
      <x:c r="F4" t="str">
        <x:v>Are users starting bookings?</x:v>
      </x:c>
    </x:row>
    <x:row r="5">
      <x:c r="A5" t="str">
        <x:v>Payment</x:v>
      </x:c>
      <x:c r="B5" t="str">
        <x:v>payment_success</x:v>
      </x:c>
      <x:c r="C5" t="n">
        <x:v>729</x:v>
      </x:c>
      <x:c r="D5" s="12" t="n">
        <x:f>C5/C4</x:f>
        <x:v>0.7275449101796407</x:v>
      </x:c>
      <x:c r="E5" s="12" t="n">
        <x:f>1-D5</x:f>
        <x:v>0.27245508982035926</x:v>
      </x:c>
      <x:c r="F5" t="str">
        <x:v>Is payment flow creating friction?</x:v>
      </x:c>
    </x:row>
    <x:row r="6">
      <x:c r="A6" t="str">
        <x:v>Workshop</x:v>
      </x:c>
      <x:c r="B6" t="str">
        <x:v>booking_completed</x:v>
      </x:c>
      <x:c r="C6" t="n">
        <x:v>658</x:v>
      </x:c>
      <x:c r="D6" s="12" t="n">
        <x:f>C6/C5</x:f>
        <x:v>0.9026063100137174</x:v>
      </x:c>
      <x:c r="E6" s="12" t="n">
        <x:f>1-D6</x:f>
        <x:v>0.09739368998628262</x:v>
      </x:c>
      <x:c r="F6" t="str">
        <x:v>Are paid sessions completed?</x:v>
      </x:c>
    </x:row>
    <x:row r="7">
      <x:c r="A7" t="str">
        <x:v>Post-session</x:v>
      </x:c>
      <x:c r="B7" t="str">
        <x:v>review_submitted</x:v>
      </x:c>
      <x:c r="C7" t="n">
        <x:v>315</x:v>
      </x:c>
      <x:c r="D7" s="12" t="n">
        <x:f>C7/C6</x:f>
        <x:v>0.4787234042553192</x:v>
      </x:c>
      <x:c r="E7" s="12" t="n">
        <x:f>1-D7</x:f>
        <x:v>0.5212765957446808</x:v>
      </x:c>
      <x:c r="F7" t="str">
        <x:v>Are customers sharing feedback?</x:v>
      </x:c>
    </x:row>
  </x:sheetData>
  <x:pageMargins left="0.7" right="0.7" top="0.75" bottom="0.75" header="0.3" footer="0.3"/>
  <x:tableParts count="1">
    <x:tablePart xmlns:r="http://schemas.openxmlformats.org/officeDocument/2006/relationships" r:id="Ra9094b747ee446b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.130000114440918" hidden="0" customWidth="1"/>
    <x:col min="3" max="3" width="18" hidden="0" customWidth="1"/>
    <x:col min="4" max="4" width="6.130000114440918" hidden="0" customWidth="1"/>
    <x:col min="5" max="5" width="16" hidden="0" customWidth="1"/>
    <x:col min="6" max="6" width="18" hidden="0" customWidth="1"/>
    <x:col min="7" max="7" width="18" hidden="0" customWidth="1"/>
    <x:col min="8" max="8" width="9.630000114440918" hidden="0" customWidth="1"/>
    <x:col min="9" max="9" width="11.130000114440918" hidden="0" customWidth="1"/>
    <x:col min="10" max="10" width="5.25" hidden="0" customWidth="1"/>
    <x:col min="11" max="11" width="16" hidden="0" customWidth="1"/>
    <x:col min="12" max="12" width="11.75" hidden="0" customWidth="1"/>
    <x:col min="13" max="13" width="5.380000114440918" hidden="0" customWidth="1"/>
    <x:col min="14" max="14" width="13.630000114440918" hidden="0" customWidth="1"/>
    <x:col min="15" max="15" width="25" hidden="0" customWidth="1"/>
  </x:cols>
  <x:sheetData>
    <x:row r="1">
      <x:c r="A1" s="6" t="str">
        <x:v>Booking ID</x:v>
      </x:c>
      <x:c r="B1" s="6" t="str">
        <x:v>Date</x:v>
      </x:c>
      <x:c r="C1" s="6" t="str">
        <x:v>Persona</x:v>
      </x:c>
      <x:c r="D1" s="6" t="str">
        <x:v>User ID</x:v>
      </x:c>
      <x:c r="E1" s="6" t="str">
        <x:v>Source</x:v>
      </x:c>
      <x:c r="F1" s="6" t="str">
        <x:v>Destination City</x:v>
      </x:c>
      <x:c r="G1" s="6" t="str">
        <x:v>Craft Interest</x:v>
      </x:c>
      <x:c r="H1" s="6" t="str">
        <x:v>Participants</x:v>
      </x:c>
      <x:c r="I1" s="6" t="str">
        <x:v>Price / Person</x:v>
      </x:c>
      <x:c r="J1" s="6" t="str">
        <x:v>Status</x:v>
      </x:c>
      <x:c r="K1" s="6" t="str">
        <x:v>Gross Booking Value</x:v>
      </x:c>
      <x:c r="L1" s="6" t="str">
        <x:v>Artisan Payout</x:v>
      </x:c>
      <x:c r="M1" s="6" t="str">
        <x:v>Rating</x:v>
      </x:c>
      <x:c r="N1" s="6" t="str">
        <x:v>Repeat Customer</x:v>
      </x:c>
      <x:c r="O1" s="6" t="str">
        <x:v>Assigned Team</x:v>
      </x:c>
    </x:row>
    <x:row r="2">
      <x:c r="A2" t="str">
        <x:v>CRB5000</x:v>
      </x:c>
      <x:c r="B2" s="14" t="str">
        <x:v>2026-07-01</x:v>
      </x:c>
      <x:c r="C2" t="str">
        <x:v>Ananya Reddy</x:v>
      </x:c>
      <x:c r="D2" t="str">
        <x:v>u1001</x:v>
      </x:c>
      <x:c r="E2" t="str">
        <x:v>Direct</x:v>
      </x:c>
      <x:c r="F2" t="str">
        <x:v>Jaipur</x:v>
      </x:c>
      <x:c r="G2" t="str">
        <x:v>Warli Painting</x:v>
      </x:c>
      <x:c r="H2" t="n">
        <x:v>1</x:v>
      </x:c>
      <x:c r="I2" s="16" t="n">
        <x:v>2500</x:v>
      </x:c>
      <x:c r="J2" s="16" t="str">
        <x:v>Completed</x:v>
      </x:c>
      <x:c r="K2" s="16" t="n">
        <x:f>H2*I2</x:f>
        <x:v>2500</x:v>
      </x:c>
      <x:c r="L2" s="16" t="n">
        <x:f>IF(J2="Completed",K2*0.80,0)</x:f>
        <x:v>2000</x:v>
      </x:c>
      <x:c r="M2" s="18" t="n">
        <x:v>4.5</x:v>
      </x:c>
      <x:c r="N2" t="str">
        <x:v>No</x:v>
      </x:c>
      <x:c r="O2" t="str">
        <x:v>Revenue / Enterprise Team</x:v>
      </x:c>
    </x:row>
    <x:row r="3">
      <x:c r="A3" t="str">
        <x:v>CRB5001</x:v>
      </x:c>
      <x:c r="B3" s="14" t="str">
        <x:v>2026-07-01</x:v>
      </x:c>
      <x:c r="C3" t="str">
        <x:v>Mark Thompson</x:v>
      </x:c>
      <x:c r="D3" t="str">
        <x:v>u1004</x:v>
      </x:c>
      <x:c r="E3" t="str">
        <x:v>Referral</x:v>
      </x:c>
      <x:c r="F3" t="str">
        <x:v>Varanasi</x:v>
      </x:c>
      <x:c r="G3" t="str">
        <x:v>Warli Painting</x:v>
      </x:c>
      <x:c r="H3" t="n">
        <x:v>2</x:v>
      </x:c>
      <x:c r="I3" s="16" t="n">
        <x:v>2200</x:v>
      </x:c>
      <x:c r="J3" s="16" t="str">
        <x:v>Completed</x:v>
      </x:c>
      <x:c r="K3" s="16" t="n">
        <x:f>H3*I3</x:f>
        <x:v>4400</x:v>
      </x:c>
      <x:c r="L3" s="16" t="n">
        <x:f>IF(J3="Completed",K3*0.80,0)</x:f>
        <x:v>3520</x:v>
      </x:c>
      <x:c r="M3" s="18" t="n">
        <x:v>4.6</x:v>
      </x:c>
      <x:c r="N3" t="str">
        <x:v>No</x:v>
      </x:c>
      <x:c r="O3" t="str">
        <x:v>Revenue / Enterprise Team</x:v>
      </x:c>
    </x:row>
    <x:row r="4">
      <x:c r="A4" t="str">
        <x:v>CRB5002</x:v>
      </x:c>
      <x:c r="B4" s="14" t="str">
        <x:v>2026-07-01</x:v>
      </x:c>
      <x:c r="C4" t="str">
        <x:v>Priya Sharma</x:v>
      </x:c>
      <x:c r="D4" t="str">
        <x:v>u1008</x:v>
      </x:c>
      <x:c r="E4" t="str">
        <x:v>Instagram</x:v>
      </x:c>
      <x:c r="F4" t="str">
        <x:v>Bangalore</x:v>
      </x:c>
      <x:c r="G4" t="str">
        <x:v>Pottery</x:v>
      </x:c>
      <x:c r="H4" t="n">
        <x:v>4</x:v>
      </x:c>
      <x:c r="I4" s="16" t="n">
        <x:v>3000</x:v>
      </x:c>
      <x:c r="J4" s="16" t="str">
        <x:v>Completed</x:v>
      </x:c>
      <x:c r="K4" s="16" t="n">
        <x:f>H4*I4</x:f>
        <x:v>12000</x:v>
      </x:c>
      <x:c r="L4" s="16" t="n">
        <x:f>IF(J4="Completed",K4*0.80,0)</x:f>
        <x:v>9600</x:v>
      </x:c>
      <x:c r="M4" s="18" t="n">
        <x:v>4.2</x:v>
      </x:c>
      <x:c r="N4" t="str">
        <x:v>No</x:v>
      </x:c>
      <x:c r="O4" t="str">
        <x:v>Traveler Success</x:v>
      </x:c>
    </x:row>
    <x:row r="5">
      <x:c r="A5" t="str">
        <x:v>CRB5003</x:v>
      </x:c>
      <x:c r="B5" s="14" t="str">
        <x:v>2026-07-01</x:v>
      </x:c>
      <x:c r="C5" t="str">
        <x:v>Priya Sharma</x:v>
      </x:c>
      <x:c r="D5" t="str">
        <x:v>u1013</x:v>
      </x:c>
      <x:c r="E5" t="str">
        <x:v>Referral</x:v>
      </x:c>
      <x:c r="F5" t="str">
        <x:v>Khurja</x:v>
      </x:c>
      <x:c r="G5" t="str">
        <x:v>Pottery</x:v>
      </x:c>
      <x:c r="H5" t="n">
        <x:v>2</x:v>
      </x:c>
      <x:c r="I5" s="16" t="n">
        <x:v>1800</x:v>
      </x:c>
      <x:c r="J5" s="16" t="str">
        <x:v>Completed</x:v>
      </x:c>
      <x:c r="K5" s="16" t="n">
        <x:f>H5*I5</x:f>
        <x:v>3600</x:v>
      </x:c>
      <x:c r="L5" s="16" t="n">
        <x:f>IF(J5="Completed",K5*0.80,0)</x:f>
        <x:v>2880</x:v>
      </x:c>
      <x:c r="M5" s="18" t="n">
        <x:v>4.3</x:v>
      </x:c>
      <x:c r="N5" t="str">
        <x:v>No</x:v>
      </x:c>
      <x:c r="O5" t="str">
        <x:v>Customer Success</x:v>
      </x:c>
    </x:row>
    <x:row r="6">
      <x:c r="A6" t="str">
        <x:v>CRB5004</x:v>
      </x:c>
      <x:c r="B6" s="14" t="str">
        <x:v>2026-07-01</x:v>
      </x:c>
      <x:c r="C6" t="str">
        <x:v>Rahul Mehta</x:v>
      </x:c>
      <x:c r="D6" t="str">
        <x:v>u1017</x:v>
      </x:c>
      <x:c r="E6" t="str">
        <x:v>Referral</x:v>
      </x:c>
      <x:c r="F6" t="str">
        <x:v>Bangalore</x:v>
      </x:c>
      <x:c r="G6" t="str">
        <x:v>Pottery</x:v>
      </x:c>
      <x:c r="H6" t="n">
        <x:v>3</x:v>
      </x:c>
      <x:c r="I6" s="16" t="n">
        <x:v>1800</x:v>
      </x:c>
      <x:c r="J6" s="16" t="str">
        <x:v>Completed</x:v>
      </x:c>
      <x:c r="K6" s="16" t="n">
        <x:f>H6*I6</x:f>
        <x:v>5400</x:v>
      </x:c>
      <x:c r="L6" s="16" t="n">
        <x:f>IF(J6="Completed",K6*0.80,0)</x:f>
        <x:v>4320</x:v>
      </x:c>
      <x:c r="M6" s="18" t="n">
        <x:v>4.9</x:v>
      </x:c>
      <x:c r="N6" t="str">
        <x:v>Yes</x:v>
      </x:c>
      <x:c r="O6" t="str">
        <x:v>Revenue / Enterprise Team</x:v>
      </x:c>
    </x:row>
    <x:row r="7">
      <x:c r="A7" t="str">
        <x:v>CRB5005</x:v>
      </x:c>
      <x:c r="B7" s="14" t="str">
        <x:v>2026-07-01</x:v>
      </x:c>
      <x:c r="C7" t="str">
        <x:v>Priya Sharma</x:v>
      </x:c>
      <x:c r="D7" t="str">
        <x:v>u1024</x:v>
      </x:c>
      <x:c r="E7" t="str">
        <x:v>Referral</x:v>
      </x:c>
      <x:c r="F7" t="str">
        <x:v>Udaipur</x:v>
      </x:c>
      <x:c r="G7" t="str">
        <x:v>Warli Painting</x:v>
      </x:c>
      <x:c r="H7" t="n">
        <x:v>1</x:v>
      </x:c>
      <x:c r="I7" s="16" t="n">
        <x:v>2500</x:v>
      </x:c>
      <x:c r="J7" s="16" t="str">
        <x:v>Completed</x:v>
      </x:c>
      <x:c r="K7" s="16" t="n">
        <x:f>H7*I7</x:f>
        <x:v>2500</x:v>
      </x:c>
      <x:c r="L7" s="16" t="n">
        <x:f>IF(J7="Completed",K7*0.80,0)</x:f>
        <x:v>2000</x:v>
      </x:c>
      <x:c r="M7" s="18" t="n">
        <x:v>3.8</x:v>
      </x:c>
      <x:c r="N7" t="str">
        <x:v>No</x:v>
      </x:c>
      <x:c r="O7" t="str">
        <x:v>Traveler Success</x:v>
      </x:c>
    </x:row>
    <x:row r="8">
      <x:c r="A8" t="str">
        <x:v>CRB5006</x:v>
      </x:c>
      <x:c r="B8" s="14" t="str">
        <x:v>2026-07-01</x:v>
      </x:c>
      <x:c r="C8" t="str">
        <x:v>Rahul Mehta</x:v>
      </x:c>
      <x:c r="D8" t="str">
        <x:v>u1025</x:v>
      </x:c>
      <x:c r="E8" t="str">
        <x:v>Instagram</x:v>
      </x:c>
      <x:c r="F8" t="str">
        <x:v>Varanasi</x:v>
      </x:c>
      <x:c r="G8" t="str">
        <x:v>Block Printing</x:v>
      </x:c>
      <x:c r="H8" t="n">
        <x:v>2</x:v>
      </x:c>
      <x:c r="I8" s="16" t="n">
        <x:v>3000</x:v>
      </x:c>
      <x:c r="J8" s="16" t="str">
        <x:v>Cancelled</x:v>
      </x:c>
      <x:c r="K8" s="16" t="n">
        <x:f>H8*I8</x:f>
        <x:v>6000</x:v>
      </x:c>
      <x:c r="L8" s="16" t="n">
        <x:f>IF(J8="Completed",K8*0.80,0)</x:f>
        <x:v>0</x:v>
      </x:c>
      <x:c r="M8" s="18" t="str"/>
      <x:c r="N8" t="str">
        <x:v>No</x:v>
      </x:c>
      <x:c r="O8" t="str">
        <x:v>Traveler Success</x:v>
      </x:c>
    </x:row>
    <x:row r="9">
      <x:c r="A9" t="str">
        <x:v>CRB5007</x:v>
      </x:c>
      <x:c r="B9" s="14" t="str">
        <x:v>2026-07-01</x:v>
      </x:c>
      <x:c r="C9" t="str">
        <x:v>Rahul Mehta</x:v>
      </x:c>
      <x:c r="D9" t="str">
        <x:v>u1036</x:v>
      </x:c>
      <x:c r="E9" t="str">
        <x:v>Direct</x:v>
      </x:c>
      <x:c r="F9" t="str">
        <x:v>Udaipur</x:v>
      </x:c>
      <x:c r="G9" t="str">
        <x:v>Pottery</x:v>
      </x:c>
      <x:c r="H9" t="n">
        <x:v>1</x:v>
      </x:c>
      <x:c r="I9" s="16" t="n">
        <x:v>3000</x:v>
      </x:c>
      <x:c r="J9" s="16" t="str">
        <x:v>Completed</x:v>
      </x:c>
      <x:c r="K9" s="16" t="n">
        <x:f>H9*I9</x:f>
        <x:v>3000</x:v>
      </x:c>
      <x:c r="L9" s="16" t="n">
        <x:f>IF(J9="Completed",K9*0.80,0)</x:f>
        <x:v>2400</x:v>
      </x:c>
      <x:c r="M9" s="18" t="n">
        <x:v>4.4</x:v>
      </x:c>
      <x:c r="N9" t="str">
        <x:v>No</x:v>
      </x:c>
      <x:c r="O9" t="str">
        <x:v>Traveler Success</x:v>
      </x:c>
    </x:row>
    <x:row r="10">
      <x:c r="A10" t="str">
        <x:v>CRB5008</x:v>
      </x:c>
      <x:c r="B10" s="14" t="str">
        <x:v>2026-07-01</x:v>
      </x:c>
      <x:c r="C10" t="str">
        <x:v>Ananya Reddy</x:v>
      </x:c>
      <x:c r="D10" t="str">
        <x:v>u1050</x:v>
      </x:c>
      <x:c r="E10" t="str">
        <x:v>Instagram</x:v>
      </x:c>
      <x:c r="F10" t="str">
        <x:v>Jaipur</x:v>
      </x:c>
      <x:c r="G10" t="str">
        <x:v>Blue Pottery</x:v>
      </x:c>
      <x:c r="H10" t="n">
        <x:v>2</x:v>
      </x:c>
      <x:c r="I10" s="16" t="n">
        <x:v>3000</x:v>
      </x:c>
      <x:c r="J10" s="16" t="str">
        <x:v>No-show</x:v>
      </x:c>
      <x:c r="K10" s="16" t="n">
        <x:f>H10*I10</x:f>
        <x:v>6000</x:v>
      </x:c>
      <x:c r="L10" s="16" t="n">
        <x:f>IF(J10="Completed",K10*0.80,0)</x:f>
        <x:v>0</x:v>
      </x:c>
      <x:c r="M10" s="18" t="str"/>
      <x:c r="N10" t="str">
        <x:v>No</x:v>
      </x:c>
      <x:c r="O10" t="str">
        <x:v>Revenue / Enterprise Team</x:v>
      </x:c>
    </x:row>
    <x:row r="11">
      <x:c r="A11" t="str">
        <x:v>CRB5009</x:v>
      </x:c>
      <x:c r="B11" s="14" t="str">
        <x:v>2026-07-01</x:v>
      </x:c>
      <x:c r="C11" t="str">
        <x:v>Ananya Reddy</x:v>
      </x:c>
      <x:c r="D11" t="str">
        <x:v>u1056</x:v>
      </x:c>
      <x:c r="E11" t="str">
        <x:v>Google Search</x:v>
      </x:c>
      <x:c r="F11" t="str">
        <x:v>Khurja</x:v>
      </x:c>
      <x:c r="G11" t="str">
        <x:v>Pottery</x:v>
      </x:c>
      <x:c r="H11" t="n">
        <x:v>6</x:v>
      </x:c>
      <x:c r="I11" s="16" t="n">
        <x:v>3500</x:v>
      </x:c>
      <x:c r="J11" s="16" t="str">
        <x:v>Cancelled</x:v>
      </x:c>
      <x:c r="K11" s="16" t="n">
        <x:f>H11*I11</x:f>
        <x:v>21000</x:v>
      </x:c>
      <x:c r="L11" s="16" t="n">
        <x:f>IF(J11="Completed",K11*0.80,0)</x:f>
        <x:v>0</x:v>
      </x:c>
      <x:c r="M11" s="18" t="str"/>
      <x:c r="N11" t="str">
        <x:v>No</x:v>
      </x:c>
      <x:c r="O11" t="str">
        <x:v>Traveler Success</x:v>
      </x:c>
    </x:row>
    <x:row r="12">
      <x:c r="A12" t="str">
        <x:v>CRB5010</x:v>
      </x:c>
      <x:c r="B12" s="14" t="str">
        <x:v>2026-07-01</x:v>
      </x:c>
      <x:c r="C12" t="str">
        <x:v>Rahul Mehta</x:v>
      </x:c>
      <x:c r="D12" t="str">
        <x:v>u1059</x:v>
      </x:c>
      <x:c r="E12" t="str">
        <x:v>Google Search</x:v>
      </x:c>
      <x:c r="F12" t="str">
        <x:v>Jaipur</x:v>
      </x:c>
      <x:c r="G12" t="str">
        <x:v>Pottery</x:v>
      </x:c>
      <x:c r="H12" t="n">
        <x:v>4</x:v>
      </x:c>
      <x:c r="I12" s="16" t="n">
        <x:v>2000</x:v>
      </x:c>
      <x:c r="J12" s="16" t="str">
        <x:v>Completed</x:v>
      </x:c>
      <x:c r="K12" s="16" t="n">
        <x:f>H12*I12</x:f>
        <x:v>8000</x:v>
      </x:c>
      <x:c r="L12" s="16" t="n">
        <x:f>IF(J12="Completed",K12*0.80,0)</x:f>
        <x:v>6400</x:v>
      </x:c>
      <x:c r="M12" s="18" t="n">
        <x:v>5</x:v>
      </x:c>
      <x:c r="N12" t="str">
        <x:v>No</x:v>
      </x:c>
      <x:c r="O12" t="str">
        <x:v>Traveler Success</x:v>
      </x:c>
    </x:row>
    <x:row r="13">
      <x:c r="A13" t="str">
        <x:v>CRB5011</x:v>
      </x:c>
      <x:c r="B13" s="14" t="str">
        <x:v>2026-07-01</x:v>
      </x:c>
      <x:c r="C13" t="str">
        <x:v>Rahul Mehta</x:v>
      </x:c>
      <x:c r="D13" t="str">
        <x:v>u1075</x:v>
      </x:c>
      <x:c r="E13" t="str">
        <x:v>Google Search</x:v>
      </x:c>
      <x:c r="F13" t="str">
        <x:v>Udaipur</x:v>
      </x:c>
      <x:c r="G13" t="str">
        <x:v>Blue Pottery</x:v>
      </x:c>
      <x:c r="H13" t="n">
        <x:v>2</x:v>
      </x:c>
      <x:c r="I13" s="16" t="n">
        <x:v>3500</x:v>
      </x:c>
      <x:c r="J13" s="16" t="str">
        <x:v>Completed</x:v>
      </x:c>
      <x:c r="K13" s="16" t="n">
        <x:f>H13*I13</x:f>
        <x:v>7000</x:v>
      </x:c>
      <x:c r="L13" s="16" t="n">
        <x:f>IF(J13="Completed",K13*0.80,0)</x:f>
        <x:v>5600</x:v>
      </x:c>
      <x:c r="M13" s="18" t="n">
        <x:v>4.9</x:v>
      </x:c>
      <x:c r="N13" t="str">
        <x:v>No</x:v>
      </x:c>
      <x:c r="O13" t="str">
        <x:v>Traveler Success</x:v>
      </x:c>
    </x:row>
    <x:row r="14">
      <x:c r="A14" t="str">
        <x:v>CRB5012</x:v>
      </x:c>
      <x:c r="B14" s="14" t="str">
        <x:v>2026-07-01</x:v>
      </x:c>
      <x:c r="C14" t="str">
        <x:v>Ananya Reddy</x:v>
      </x:c>
      <x:c r="D14" t="str">
        <x:v>u1080</x:v>
      </x:c>
      <x:c r="E14" t="str">
        <x:v>Referral</x:v>
      </x:c>
      <x:c r="F14" t="str">
        <x:v>Bangalore</x:v>
      </x:c>
      <x:c r="G14" t="str">
        <x:v>Blue Pottery</x:v>
      </x:c>
      <x:c r="H14" t="n">
        <x:v>4</x:v>
      </x:c>
      <x:c r="I14" s="16" t="n">
        <x:v>1800</x:v>
      </x:c>
      <x:c r="J14" s="16" t="str">
        <x:v>Completed</x:v>
      </x:c>
      <x:c r="K14" s="16" t="n">
        <x:f>H14*I14</x:f>
        <x:v>7200</x:v>
      </x:c>
      <x:c r="L14" s="16" t="n">
        <x:f>IF(J14="Completed",K14*0.80,0)</x:f>
        <x:v>5760</x:v>
      </x:c>
      <x:c r="M14" s="18" t="n">
        <x:v>4.4</x:v>
      </x:c>
      <x:c r="N14" t="str">
        <x:v>No</x:v>
      </x:c>
      <x:c r="O14" t="str">
        <x:v>Traveler Success</x:v>
      </x:c>
    </x:row>
    <x:row r="15">
      <x:c r="A15" t="str">
        <x:v>CRB5013</x:v>
      </x:c>
      <x:c r="B15" s="14" t="str">
        <x:v>2026-07-01</x:v>
      </x:c>
      <x:c r="C15" t="str">
        <x:v>Mark Thompson</x:v>
      </x:c>
      <x:c r="D15" t="str">
        <x:v>u1089</x:v>
      </x:c>
      <x:c r="E15" t="str">
        <x:v>Travel Blog</x:v>
      </x:c>
      <x:c r="F15" t="str">
        <x:v>Bangalore</x:v>
      </x:c>
      <x:c r="G15" t="str">
        <x:v>Warli Painting</x:v>
      </x:c>
      <x:c r="H15" t="n">
        <x:v>12</x:v>
      </x:c>
      <x:c r="I15" s="16" t="n">
        <x:v>1800</x:v>
      </x:c>
      <x:c r="J15" s="16" t="str">
        <x:v>Completed</x:v>
      </x:c>
      <x:c r="K15" s="16" t="n">
        <x:f>H15*I15</x:f>
        <x:v>21600</x:v>
      </x:c>
      <x:c r="L15" s="16" t="n">
        <x:f>IF(J15="Completed",K15*0.80,0)</x:f>
        <x:v>17280</x:v>
      </x:c>
      <x:c r="M15" s="18" t="n">
        <x:v>4.1</x:v>
      </x:c>
      <x:c r="N15" t="str">
        <x:v>No</x:v>
      </x:c>
      <x:c r="O15" t="str">
        <x:v>Customer Success</x:v>
      </x:c>
    </x:row>
    <x:row r="16">
      <x:c r="A16" t="str">
        <x:v>CRB5014</x:v>
      </x:c>
      <x:c r="B16" s="14" t="str">
        <x:v>2026-07-01</x:v>
      </x:c>
      <x:c r="C16" t="str">
        <x:v>Mark Thompson</x:v>
      </x:c>
      <x:c r="D16" t="str">
        <x:v>u1092</x:v>
      </x:c>
      <x:c r="E16" t="str">
        <x:v>Instagram</x:v>
      </x:c>
      <x:c r="F16" t="str">
        <x:v>Jaipur</x:v>
      </x:c>
      <x:c r="G16" t="str">
        <x:v>Pottery</x:v>
      </x:c>
      <x:c r="H16" t="n">
        <x:v>2</x:v>
      </x:c>
      <x:c r="I16" s="16" t="n">
        <x:v>2200</x:v>
      </x:c>
      <x:c r="J16" s="16" t="str">
        <x:v>Completed</x:v>
      </x:c>
      <x:c r="K16" s="16" t="n">
        <x:f>H16*I16</x:f>
        <x:v>4400</x:v>
      </x:c>
      <x:c r="L16" s="16" t="n">
        <x:f>IF(J16="Completed",K16*0.80,0)</x:f>
        <x:v>3520</x:v>
      </x:c>
      <x:c r="M16" s="18" t="n">
        <x:v>4.1</x:v>
      </x:c>
      <x:c r="N16" t="str">
        <x:v>No</x:v>
      </x:c>
      <x:c r="O16" t="str">
        <x:v>Traveler Success</x:v>
      </x:c>
    </x:row>
    <x:row r="17">
      <x:c r="A17" t="str">
        <x:v>CRB5015</x:v>
      </x:c>
      <x:c r="B17" s="14" t="str">
        <x:v>2026-07-01</x:v>
      </x:c>
      <x:c r="C17" t="str">
        <x:v>Ananya Reddy</x:v>
      </x:c>
      <x:c r="D17" t="str">
        <x:v>u1093</x:v>
      </x:c>
      <x:c r="E17" t="str">
        <x:v>Direct</x:v>
      </x:c>
      <x:c r="F17" t="str">
        <x:v>Bangalore</x:v>
      </x:c>
      <x:c r="G17" t="str">
        <x:v>Block Printing</x:v>
      </x:c>
      <x:c r="H17" t="n">
        <x:v>1</x:v>
      </x:c>
      <x:c r="I17" s="16" t="n">
        <x:v>2000</x:v>
      </x:c>
      <x:c r="J17" s="16" t="str">
        <x:v>Completed</x:v>
      </x:c>
      <x:c r="K17" s="16" t="n">
        <x:f>H17*I17</x:f>
        <x:v>2000</x:v>
      </x:c>
      <x:c r="L17" s="16" t="n">
        <x:f>IF(J17="Completed",K17*0.80,0)</x:f>
        <x:v>1600</x:v>
      </x:c>
      <x:c r="M17" s="18" t="n">
        <x:v>4.3</x:v>
      </x:c>
      <x:c r="N17" t="str">
        <x:v>Yes</x:v>
      </x:c>
      <x:c r="O17" t="str">
        <x:v>Revenue / Enterprise Team</x:v>
      </x:c>
    </x:row>
    <x:row r="18">
      <x:c r="A18" t="str">
        <x:v>CRB5016</x:v>
      </x:c>
      <x:c r="B18" s="14" t="str">
        <x:v>2026-07-01</x:v>
      </x:c>
      <x:c r="C18" t="str">
        <x:v>Sofia Martinez</x:v>
      </x:c>
      <x:c r="D18" t="str">
        <x:v>u1096</x:v>
      </x:c>
      <x:c r="E18" t="str">
        <x:v>Referral</x:v>
      </x:c>
      <x:c r="F18" t="str">
        <x:v>Jaipur</x:v>
      </x:c>
      <x:c r="G18" t="str">
        <x:v>Warli Painting</x:v>
      </x:c>
      <x:c r="H18" t="n">
        <x:v>12</x:v>
      </x:c>
      <x:c r="I18" s="16" t="n">
        <x:v>1500</x:v>
      </x:c>
      <x:c r="J18" s="16" t="str">
        <x:v>Completed</x:v>
      </x:c>
      <x:c r="K18" s="16" t="n">
        <x:f>H18*I18</x:f>
        <x:v>18000</x:v>
      </x:c>
      <x:c r="L18" s="16" t="n">
        <x:f>IF(J18="Completed",K18*0.80,0)</x:f>
        <x:v>14400</x:v>
      </x:c>
      <x:c r="M18" s="18" t="n">
        <x:v>4.9</x:v>
      </x:c>
      <x:c r="N18" t="str">
        <x:v>No</x:v>
      </x:c>
      <x:c r="O18" t="str">
        <x:v>Customer Success</x:v>
      </x:c>
    </x:row>
    <x:row r="19">
      <x:c r="A19" t="str">
        <x:v>CRB5017</x:v>
      </x:c>
      <x:c r="B19" s="14" t="str">
        <x:v>2026-07-01</x:v>
      </x:c>
      <x:c r="C19" t="str">
        <x:v>Sofia Martinez</x:v>
      </x:c>
      <x:c r="D19" t="str">
        <x:v>u1103</x:v>
      </x:c>
      <x:c r="E19" t="str">
        <x:v>Referral</x:v>
      </x:c>
      <x:c r="F19" t="str">
        <x:v>Bangalore</x:v>
      </x:c>
      <x:c r="G19" t="str">
        <x:v>Block Printing</x:v>
      </x:c>
      <x:c r="H19" t="n">
        <x:v>10</x:v>
      </x:c>
      <x:c r="I19" s="16" t="n">
        <x:v>2200</x:v>
      </x:c>
      <x:c r="J19" s="16" t="str">
        <x:v>Completed</x:v>
      </x:c>
      <x:c r="K19" s="16" t="n">
        <x:f>H19*I19</x:f>
        <x:v>22000</x:v>
      </x:c>
      <x:c r="L19" s="16" t="n">
        <x:f>IF(J19="Completed",K19*0.80,0)</x:f>
        <x:v>17600</x:v>
      </x:c>
      <x:c r="M19" s="18" t="n">
        <x:v>4.4</x:v>
      </x:c>
      <x:c r="N19" t="str">
        <x:v>No</x:v>
      </x:c>
      <x:c r="O19" t="str">
        <x:v>Traveler Success</x:v>
      </x:c>
    </x:row>
    <x:row r="20">
      <x:c r="A20" t="str">
        <x:v>CRB5018</x:v>
      </x:c>
      <x:c r="B20" s="14" t="str">
        <x:v>2026-07-01</x:v>
      </x:c>
      <x:c r="C20" t="str">
        <x:v>Rahul Mehta</x:v>
      </x:c>
      <x:c r="D20" t="str">
        <x:v>u1104</x:v>
      </x:c>
      <x:c r="E20" t="str">
        <x:v>Instagram</x:v>
      </x:c>
      <x:c r="F20" t="str">
        <x:v>Varanasi</x:v>
      </x:c>
      <x:c r="G20" t="str">
        <x:v>Pottery</x:v>
      </x:c>
      <x:c r="H20" t="n">
        <x:v>6</x:v>
      </x:c>
      <x:c r="I20" s="16" t="n">
        <x:v>2200</x:v>
      </x:c>
      <x:c r="J20" s="16" t="str">
        <x:v>Completed</x:v>
      </x:c>
      <x:c r="K20" s="16" t="n">
        <x:f>H20*I20</x:f>
        <x:v>13200</x:v>
      </x:c>
      <x:c r="L20" s="16" t="n">
        <x:f>IF(J20="Completed",K20*0.80,0)</x:f>
        <x:v>10560</x:v>
      </x:c>
      <x:c r="M20" s="18" t="n">
        <x:v>5</x:v>
      </x:c>
      <x:c r="N20" t="str">
        <x:v>No</x:v>
      </x:c>
      <x:c r="O20" t="str">
        <x:v>Customer Success</x:v>
      </x:c>
    </x:row>
    <x:row r="21">
      <x:c r="A21" t="str">
        <x:v>CRB5019</x:v>
      </x:c>
      <x:c r="B21" s="14" t="str">
        <x:v>2026-07-01</x:v>
      </x:c>
      <x:c r="C21" t="str">
        <x:v>Ananya Reddy</x:v>
      </x:c>
      <x:c r="D21" t="str">
        <x:v>u1105</x:v>
      </x:c>
      <x:c r="E21" t="str">
        <x:v>Travel Blog</x:v>
      </x:c>
      <x:c r="F21" t="str">
        <x:v>Varanasi</x:v>
      </x:c>
      <x:c r="G21" t="str">
        <x:v>Weaving</x:v>
      </x:c>
      <x:c r="H21" t="n">
        <x:v>2</x:v>
      </x:c>
      <x:c r="I21" s="16" t="n">
        <x:v>3000</x:v>
      </x:c>
      <x:c r="J21" s="16" t="str">
        <x:v>Completed</x:v>
      </x:c>
      <x:c r="K21" s="16" t="n">
        <x:f>H21*I21</x:f>
        <x:v>6000</x:v>
      </x:c>
      <x:c r="L21" s="16" t="n">
        <x:f>IF(J21="Completed",K21*0.80,0)</x:f>
        <x:v>4800</x:v>
      </x:c>
      <x:c r="M21" s="18" t="n">
        <x:v>4</x:v>
      </x:c>
      <x:c r="N21" t="str">
        <x:v>No</x:v>
      </x:c>
      <x:c r="O21" t="str">
        <x:v>Customer Success</x:v>
      </x:c>
    </x:row>
    <x:row r="22">
      <x:c r="A22" t="str">
        <x:v>CRB5020</x:v>
      </x:c>
      <x:c r="B22" s="14" t="str">
        <x:v>2026-07-01</x:v>
      </x:c>
      <x:c r="C22" t="str">
        <x:v>Mark Thompson</x:v>
      </x:c>
      <x:c r="D22" t="str">
        <x:v>u1106</x:v>
      </x:c>
      <x:c r="E22" t="str">
        <x:v>Direct</x:v>
      </x:c>
      <x:c r="F22" t="str">
        <x:v>Bangalore</x:v>
      </x:c>
      <x:c r="G22" t="str">
        <x:v>Warli Painting</x:v>
      </x:c>
      <x:c r="H22" t="n">
        <x:v>3</x:v>
      </x:c>
      <x:c r="I22" s="16" t="n">
        <x:v>2000</x:v>
      </x:c>
      <x:c r="J22" s="16" t="str">
        <x:v>Completed</x:v>
      </x:c>
      <x:c r="K22" s="16" t="n">
        <x:f>H22*I22</x:f>
        <x:v>6000</x:v>
      </x:c>
      <x:c r="L22" s="16" t="n">
        <x:f>IF(J22="Completed",K22*0.80,0)</x:f>
        <x:v>4800</x:v>
      </x:c>
      <x:c r="M22" s="18" t="n">
        <x:v>4.4</x:v>
      </x:c>
      <x:c r="N22" t="str">
        <x:v>Yes</x:v>
      </x:c>
      <x:c r="O22" t="str">
        <x:v>Traveler Success</x:v>
      </x:c>
    </x:row>
    <x:row r="23">
      <x:c r="A23" t="str">
        <x:v>CRB5021</x:v>
      </x:c>
      <x:c r="B23" s="14" t="str">
        <x:v>2026-07-01</x:v>
      </x:c>
      <x:c r="C23" t="str">
        <x:v>Ananya Reddy</x:v>
      </x:c>
      <x:c r="D23" t="str">
        <x:v>u1116</x:v>
      </x:c>
      <x:c r="E23" t="str">
        <x:v>Google Search</x:v>
      </x:c>
      <x:c r="F23" t="str">
        <x:v>Varanasi</x:v>
      </x:c>
      <x:c r="G23" t="str">
        <x:v>Block Printing</x:v>
      </x:c>
      <x:c r="H23" t="n">
        <x:v>1</x:v>
      </x:c>
      <x:c r="I23" s="16" t="n">
        <x:v>2200</x:v>
      </x:c>
      <x:c r="J23" s="16" t="str">
        <x:v>Completed</x:v>
      </x:c>
      <x:c r="K23" s="16" t="n">
        <x:f>H23*I23</x:f>
        <x:v>2200</x:v>
      </x:c>
      <x:c r="L23" s="16" t="n">
        <x:f>IF(J23="Completed",K23*0.80,0)</x:f>
        <x:v>1760</x:v>
      </x:c>
      <x:c r="M23" s="18" t="n">
        <x:v>4.1</x:v>
      </x:c>
      <x:c r="N23" t="str">
        <x:v>No</x:v>
      </x:c>
      <x:c r="O23" t="str">
        <x:v>Revenue / Enterprise Team</x:v>
      </x:c>
    </x:row>
    <x:row r="24">
      <x:c r="A24" t="str">
        <x:v>CRB5022</x:v>
      </x:c>
      <x:c r="B24" s="14" t="str">
        <x:v>2026-07-01</x:v>
      </x:c>
      <x:c r="C24" t="str">
        <x:v>Rahul Mehta</x:v>
      </x:c>
      <x:c r="D24" t="str">
        <x:v>u1118</x:v>
      </x:c>
      <x:c r="E24" t="str">
        <x:v>Direct</x:v>
      </x:c>
      <x:c r="F24" t="str">
        <x:v>Khurja</x:v>
      </x:c>
      <x:c r="G24" t="str">
        <x:v>Blue Pottery</x:v>
      </x:c>
      <x:c r="H24" t="n">
        <x:v>4</x:v>
      </x:c>
      <x:c r="I24" s="16" t="n">
        <x:v>3500</x:v>
      </x:c>
      <x:c r="J24" s="16" t="str">
        <x:v>Completed</x:v>
      </x:c>
      <x:c r="K24" s="16" t="n">
        <x:f>H24*I24</x:f>
        <x:v>14000</x:v>
      </x:c>
      <x:c r="L24" s="16" t="n">
        <x:f>IF(J24="Completed",K24*0.80,0)</x:f>
        <x:v>11200</x:v>
      </x:c>
      <x:c r="M24" s="18" t="n">
        <x:v>4.8</x:v>
      </x:c>
      <x:c r="N24" t="str">
        <x:v>No</x:v>
      </x:c>
      <x:c r="O24" t="str">
        <x:v>Customer Success</x:v>
      </x:c>
    </x:row>
    <x:row r="25">
      <x:c r="A25" t="str">
        <x:v>CRB5023</x:v>
      </x:c>
      <x:c r="B25" s="14" t="str">
        <x:v>2026-07-01</x:v>
      </x:c>
      <x:c r="C25" t="str">
        <x:v>Sofia Martinez</x:v>
      </x:c>
      <x:c r="D25" t="str">
        <x:v>u1123</x:v>
      </x:c>
      <x:c r="E25" t="str">
        <x:v>Referral</x:v>
      </x:c>
      <x:c r="F25" t="str">
        <x:v>Bangalore</x:v>
      </x:c>
      <x:c r="G25" t="str">
        <x:v>Block Printing</x:v>
      </x:c>
      <x:c r="H25" t="n">
        <x:v>12</x:v>
      </x:c>
      <x:c r="I25" s="16" t="n">
        <x:v>2000</x:v>
      </x:c>
      <x:c r="J25" s="16" t="str">
        <x:v>Completed</x:v>
      </x:c>
      <x:c r="K25" s="16" t="n">
        <x:f>H25*I25</x:f>
        <x:v>24000</x:v>
      </x:c>
      <x:c r="L25" s="16" t="n">
        <x:f>IF(J25="Completed",K25*0.80,0)</x:f>
        <x:v>19200</x:v>
      </x:c>
      <x:c r="M25" s="18" t="n">
        <x:v>4.6</x:v>
      </x:c>
      <x:c r="N25" t="str">
        <x:v>Yes</x:v>
      </x:c>
      <x:c r="O25" t="str">
        <x:v>Customer Success</x:v>
      </x:c>
    </x:row>
    <x:row r="26">
      <x:c r="A26" t="str">
        <x:v>CRB5024</x:v>
      </x:c>
      <x:c r="B26" s="14" t="str">
        <x:v>2026-07-01</x:v>
      </x:c>
      <x:c r="C26" t="str">
        <x:v>Rahul Mehta</x:v>
      </x:c>
      <x:c r="D26" t="str">
        <x:v>u1124</x:v>
      </x:c>
      <x:c r="E26" t="str">
        <x:v>Referral</x:v>
      </x:c>
      <x:c r="F26" t="str">
        <x:v>Udaipur</x:v>
      </x:c>
      <x:c r="G26" t="str">
        <x:v>Weaving</x:v>
      </x:c>
      <x:c r="H26" t="n">
        <x:v>10</x:v>
      </x:c>
      <x:c r="I26" s="16" t="n">
        <x:v>3000</x:v>
      </x:c>
      <x:c r="J26" s="16" t="str">
        <x:v>Completed</x:v>
      </x:c>
      <x:c r="K26" s="16" t="n">
        <x:f>H26*I26</x:f>
        <x:v>30000</x:v>
      </x:c>
      <x:c r="L26" s="16" t="n">
        <x:f>IF(J26="Completed",K26*0.80,0)</x:f>
        <x:v>24000</x:v>
      </x:c>
      <x:c r="M26" s="18" t="n">
        <x:v>4.3</x:v>
      </x:c>
      <x:c r="N26" t="str">
        <x:v>Yes</x:v>
      </x:c>
      <x:c r="O26" t="str">
        <x:v>Customer Success</x:v>
      </x:c>
    </x:row>
    <x:row r="27">
      <x:c r="A27" t="str">
        <x:v>CRB5025</x:v>
      </x:c>
      <x:c r="B27" s="14" t="str">
        <x:v>2026-07-01</x:v>
      </x:c>
      <x:c r="C27" t="str">
        <x:v>Sofia Martinez</x:v>
      </x:c>
      <x:c r="D27" t="str">
        <x:v>u1130</x:v>
      </x:c>
      <x:c r="E27" t="str">
        <x:v>Direct</x:v>
      </x:c>
      <x:c r="F27" t="str">
        <x:v>Khurja</x:v>
      </x:c>
      <x:c r="G27" t="str">
        <x:v>Pottery</x:v>
      </x:c>
      <x:c r="H27" t="n">
        <x:v>3</x:v>
      </x:c>
      <x:c r="I27" s="16" t="n">
        <x:v>3500</x:v>
      </x:c>
      <x:c r="J27" s="16" t="str">
        <x:v>Cancelled</x:v>
      </x:c>
      <x:c r="K27" s="16" t="n">
        <x:f>H27*I27</x:f>
        <x:v>10500</x:v>
      </x:c>
      <x:c r="L27" s="16" t="n">
        <x:f>IF(J27="Completed",K27*0.80,0)</x:f>
        <x:v>0</x:v>
      </x:c>
      <x:c r="M27" s="18" t="str"/>
      <x:c r="N27" t="str">
        <x:v>Yes</x:v>
      </x:c>
      <x:c r="O27" t="str">
        <x:v>Revenue / Enterprise Team</x:v>
      </x:c>
    </x:row>
    <x:row r="28">
      <x:c r="A28" t="str">
        <x:v>CRB5026</x:v>
      </x:c>
      <x:c r="B28" s="14" t="str">
        <x:v>2026-07-01</x:v>
      </x:c>
      <x:c r="C28" t="str">
        <x:v>Rahul Mehta</x:v>
      </x:c>
      <x:c r="D28" t="str">
        <x:v>u1134</x:v>
      </x:c>
      <x:c r="E28" t="str">
        <x:v>Travel Blog</x:v>
      </x:c>
      <x:c r="F28" t="str">
        <x:v>Varanasi</x:v>
      </x:c>
      <x:c r="G28" t="str">
        <x:v>Warli Painting</x:v>
      </x:c>
      <x:c r="H28" t="n">
        <x:v>12</x:v>
      </x:c>
      <x:c r="I28" s="16" t="n">
        <x:v>3500</x:v>
      </x:c>
      <x:c r="J28" s="16" t="str">
        <x:v>Completed</x:v>
      </x:c>
      <x:c r="K28" s="16" t="n">
        <x:f>H28*I28</x:f>
        <x:v>42000</x:v>
      </x:c>
      <x:c r="L28" s="16" t="n">
        <x:f>IF(J28="Completed",K28*0.80,0)</x:f>
        <x:v>33600</x:v>
      </x:c>
      <x:c r="M28" s="18" t="n">
        <x:v>4.2</x:v>
      </x:c>
      <x:c r="N28" t="str">
        <x:v>No</x:v>
      </x:c>
      <x:c r="O28" t="str">
        <x:v>Customer Success</x:v>
      </x:c>
    </x:row>
    <x:row r="29">
      <x:c r="A29" t="str">
        <x:v>CRB5027</x:v>
      </x:c>
      <x:c r="B29" s="14" t="str">
        <x:v>2026-07-01</x:v>
      </x:c>
      <x:c r="C29" t="str">
        <x:v>Priya Sharma</x:v>
      </x:c>
      <x:c r="D29" t="str">
        <x:v>u1142</x:v>
      </x:c>
      <x:c r="E29" t="str">
        <x:v>Travel Blog</x:v>
      </x:c>
      <x:c r="F29" t="str">
        <x:v>Bangalore</x:v>
      </x:c>
      <x:c r="G29" t="str">
        <x:v>Block Printing</x:v>
      </x:c>
      <x:c r="H29" t="n">
        <x:v>4</x:v>
      </x:c>
      <x:c r="I29" s="16" t="n">
        <x:v>1800</x:v>
      </x:c>
      <x:c r="J29" s="16" t="str">
        <x:v>Completed</x:v>
      </x:c>
      <x:c r="K29" s="16" t="n">
        <x:f>H29*I29</x:f>
        <x:v>7200</x:v>
      </x:c>
      <x:c r="L29" s="16" t="n">
        <x:f>IF(J29="Completed",K29*0.80,0)</x:f>
        <x:v>5760</x:v>
      </x:c>
      <x:c r="M29" s="18" t="n">
        <x:v>3.9</x:v>
      </x:c>
      <x:c r="N29" t="str">
        <x:v>No</x:v>
      </x:c>
      <x:c r="O29" t="str">
        <x:v>Traveler Success</x:v>
      </x:c>
    </x:row>
    <x:row r="30">
      <x:c r="A30" t="str">
        <x:v>CRB5028</x:v>
      </x:c>
      <x:c r="B30" s="14" t="str">
        <x:v>2026-07-01</x:v>
      </x:c>
      <x:c r="C30" t="str">
        <x:v>Ananya Reddy</x:v>
      </x:c>
      <x:c r="D30" t="str">
        <x:v>u1143</x:v>
      </x:c>
      <x:c r="E30" t="str">
        <x:v>Referral</x:v>
      </x:c>
      <x:c r="F30" t="str">
        <x:v>Jaipur</x:v>
      </x:c>
      <x:c r="G30" t="str">
        <x:v>Block Printing</x:v>
      </x:c>
      <x:c r="H30" t="n">
        <x:v>10</x:v>
      </x:c>
      <x:c r="I30" s="16" t="n">
        <x:v>1800</x:v>
      </x:c>
      <x:c r="J30" s="16" t="str">
        <x:v>Completed</x:v>
      </x:c>
      <x:c r="K30" s="16" t="n">
        <x:f>H30*I30</x:f>
        <x:v>18000</x:v>
      </x:c>
      <x:c r="L30" s="16" t="n">
        <x:f>IF(J30="Completed",K30*0.80,0)</x:f>
        <x:v>14400</x:v>
      </x:c>
      <x:c r="M30" s="18" t="n">
        <x:v>4.6</x:v>
      </x:c>
      <x:c r="N30" t="str">
        <x:v>No</x:v>
      </x:c>
      <x:c r="O30" t="str">
        <x:v>Traveler Success</x:v>
      </x:c>
    </x:row>
    <x:row r="31">
      <x:c r="A31" t="str">
        <x:v>CRB5029</x:v>
      </x:c>
      <x:c r="B31" s="14" t="str">
        <x:v>2026-07-01</x:v>
      </x:c>
      <x:c r="C31" t="str">
        <x:v>Sofia Martinez</x:v>
      </x:c>
      <x:c r="D31" t="str">
        <x:v>u1146</x:v>
      </x:c>
      <x:c r="E31" t="str">
        <x:v>Instagram</x:v>
      </x:c>
      <x:c r="F31" t="str">
        <x:v>Udaipur</x:v>
      </x:c>
      <x:c r="G31" t="str">
        <x:v>Weaving</x:v>
      </x:c>
      <x:c r="H31" t="n">
        <x:v>6</x:v>
      </x:c>
      <x:c r="I31" s="16" t="n">
        <x:v>2500</x:v>
      </x:c>
      <x:c r="J31" s="16" t="str">
        <x:v>Completed</x:v>
      </x:c>
      <x:c r="K31" s="16" t="n">
        <x:f>H31*I31</x:f>
        <x:v>15000</x:v>
      </x:c>
      <x:c r="L31" s="16" t="n">
        <x:f>IF(J31="Completed",K31*0.80,0)</x:f>
        <x:v>12000</x:v>
      </x:c>
      <x:c r="M31" s="18" t="n">
        <x:v>4.6</x:v>
      </x:c>
      <x:c r="N31" t="str">
        <x:v>No</x:v>
      </x:c>
      <x:c r="O31" t="str">
        <x:v>Traveler Success</x:v>
      </x:c>
    </x:row>
    <x:row r="32">
      <x:c r="A32" t="str">
        <x:v>CRB5030</x:v>
      </x:c>
      <x:c r="B32" s="14" t="str">
        <x:v>2026-07-01</x:v>
      </x:c>
      <x:c r="C32" t="str">
        <x:v>Sofia Martinez</x:v>
      </x:c>
      <x:c r="D32" t="str">
        <x:v>u1151</x:v>
      </x:c>
      <x:c r="E32" t="str">
        <x:v>Google Search</x:v>
      </x:c>
      <x:c r="F32" t="str">
        <x:v>Bangalore</x:v>
      </x:c>
      <x:c r="G32" t="str">
        <x:v>Weaving</x:v>
      </x:c>
      <x:c r="H32" t="n">
        <x:v>2</x:v>
      </x:c>
      <x:c r="I32" s="16" t="n">
        <x:v>3000</x:v>
      </x:c>
      <x:c r="J32" s="16" t="str">
        <x:v>Completed</x:v>
      </x:c>
      <x:c r="K32" s="16" t="n">
        <x:f>H32*I32</x:f>
        <x:v>6000</x:v>
      </x:c>
      <x:c r="L32" s="16" t="n">
        <x:f>IF(J32="Completed",K32*0.80,0)</x:f>
        <x:v>4800</x:v>
      </x:c>
      <x:c r="M32" s="18" t="n">
        <x:v>3.8</x:v>
      </x:c>
      <x:c r="N32" t="str">
        <x:v>Yes</x:v>
      </x:c>
      <x:c r="O32" t="str">
        <x:v>Revenue / Enterprise Team</x:v>
      </x:c>
    </x:row>
    <x:row r="33">
      <x:c r="A33" t="str">
        <x:v>CRB5031</x:v>
      </x:c>
      <x:c r="B33" s="14" t="str">
        <x:v>2026-07-01</x:v>
      </x:c>
      <x:c r="C33" t="str">
        <x:v>Priya Sharma</x:v>
      </x:c>
      <x:c r="D33" t="str">
        <x:v>u1165</x:v>
      </x:c>
      <x:c r="E33" t="str">
        <x:v>Direct</x:v>
      </x:c>
      <x:c r="F33" t="str">
        <x:v>Udaipur</x:v>
      </x:c>
      <x:c r="G33" t="str">
        <x:v>Warli Painting</x:v>
      </x:c>
      <x:c r="H33" t="n">
        <x:v>2</x:v>
      </x:c>
      <x:c r="I33" s="16" t="n">
        <x:v>3500</x:v>
      </x:c>
      <x:c r="J33" s="16" t="str">
        <x:v>Completed</x:v>
      </x:c>
      <x:c r="K33" s="16" t="n">
        <x:f>H33*I33</x:f>
        <x:v>7000</x:v>
      </x:c>
      <x:c r="L33" s="16" t="n">
        <x:f>IF(J33="Completed",K33*0.80,0)</x:f>
        <x:v>5600</x:v>
      </x:c>
      <x:c r="M33" s="18" t="n">
        <x:v>4.9</x:v>
      </x:c>
      <x:c r="N33" t="str">
        <x:v>No</x:v>
      </x:c>
      <x:c r="O33" t="str">
        <x:v>Traveler Success</x:v>
      </x:c>
    </x:row>
    <x:row r="34">
      <x:c r="A34" t="str">
        <x:v>CRB5032</x:v>
      </x:c>
      <x:c r="B34" s="14" t="str">
        <x:v>2026-07-01</x:v>
      </x:c>
      <x:c r="C34" t="str">
        <x:v>Sofia Martinez</x:v>
      </x:c>
      <x:c r="D34" t="str">
        <x:v>u1166</x:v>
      </x:c>
      <x:c r="E34" t="str">
        <x:v>Travel Blog</x:v>
      </x:c>
      <x:c r="F34" t="str">
        <x:v>Udaipur</x:v>
      </x:c>
      <x:c r="G34" t="str">
        <x:v>Pottery</x:v>
      </x:c>
      <x:c r="H34" t="n">
        <x:v>6</x:v>
      </x:c>
      <x:c r="I34" s="16" t="n">
        <x:v>1500</x:v>
      </x:c>
      <x:c r="J34" s="16" t="str">
        <x:v>Completed</x:v>
      </x:c>
      <x:c r="K34" s="16" t="n">
        <x:f>H34*I34</x:f>
        <x:v>9000</x:v>
      </x:c>
      <x:c r="L34" s="16" t="n">
        <x:f>IF(J34="Completed",K34*0.80,0)</x:f>
        <x:v>7200</x:v>
      </x:c>
      <x:c r="M34" s="18" t="n">
        <x:v>3.9</x:v>
      </x:c>
      <x:c r="N34" t="str">
        <x:v>Yes</x:v>
      </x:c>
      <x:c r="O34" t="str">
        <x:v>Revenue / Enterprise Team</x:v>
      </x:c>
    </x:row>
    <x:row r="35">
      <x:c r="A35" t="str">
        <x:v>CRB5033</x:v>
      </x:c>
      <x:c r="B35" s="14" t="str">
        <x:v>2026-07-01</x:v>
      </x:c>
      <x:c r="C35" t="str">
        <x:v>Priya Sharma</x:v>
      </x:c>
      <x:c r="D35" t="str">
        <x:v>u1170</x:v>
      </x:c>
      <x:c r="E35" t="str">
        <x:v>Direct</x:v>
      </x:c>
      <x:c r="F35" t="str">
        <x:v>Jaipur</x:v>
      </x:c>
      <x:c r="G35" t="str">
        <x:v>Weaving</x:v>
      </x:c>
      <x:c r="H35" t="n">
        <x:v>4</x:v>
      </x:c>
      <x:c r="I35" s="16" t="n">
        <x:v>3500</x:v>
      </x:c>
      <x:c r="J35" s="16" t="str">
        <x:v>Completed</x:v>
      </x:c>
      <x:c r="K35" s="16" t="n">
        <x:f>H35*I35</x:f>
        <x:v>14000</x:v>
      </x:c>
      <x:c r="L35" s="16" t="n">
        <x:f>IF(J35="Completed",K35*0.80,0)</x:f>
        <x:v>11200</x:v>
      </x:c>
      <x:c r="M35" s="18" t="n">
        <x:v>3.8</x:v>
      </x:c>
      <x:c r="N35" t="str">
        <x:v>No</x:v>
      </x:c>
      <x:c r="O35" t="str">
        <x:v>Traveler Success</x:v>
      </x:c>
    </x:row>
    <x:row r="36">
      <x:c r="A36" t="str">
        <x:v>CRB5034</x:v>
      </x:c>
      <x:c r="B36" s="14" t="str">
        <x:v>2026-07-01</x:v>
      </x:c>
      <x:c r="C36" t="str">
        <x:v>Sofia Martinez</x:v>
      </x:c>
      <x:c r="D36" t="str">
        <x:v>u1173</x:v>
      </x:c>
      <x:c r="E36" t="str">
        <x:v>Direct</x:v>
      </x:c>
      <x:c r="F36" t="str">
        <x:v>Bangalore</x:v>
      </x:c>
      <x:c r="G36" t="str">
        <x:v>Block Printing</x:v>
      </x:c>
      <x:c r="H36" t="n">
        <x:v>4</x:v>
      </x:c>
      <x:c r="I36" s="16" t="n">
        <x:v>2200</x:v>
      </x:c>
      <x:c r="J36" s="16" t="str">
        <x:v>Completed</x:v>
      </x:c>
      <x:c r="K36" s="16" t="n">
        <x:f>H36*I36</x:f>
        <x:v>8800</x:v>
      </x:c>
      <x:c r="L36" s="16" t="n">
        <x:f>IF(J36="Completed",K36*0.80,0)</x:f>
        <x:v>7040</x:v>
      </x:c>
      <x:c r="M36" s="18" t="n">
        <x:v>5</x:v>
      </x:c>
      <x:c r="N36" t="str">
        <x:v>No</x:v>
      </x:c>
      <x:c r="O36" t="str">
        <x:v>Revenue / Enterprise Team</x:v>
      </x:c>
    </x:row>
    <x:row r="37">
      <x:c r="A37" t="str">
        <x:v>CRB5035</x:v>
      </x:c>
      <x:c r="B37" s="14" t="str">
        <x:v>2026-07-01</x:v>
      </x:c>
      <x:c r="C37" t="str">
        <x:v>Mark Thompson</x:v>
      </x:c>
      <x:c r="D37" t="str">
        <x:v>u1174</x:v>
      </x:c>
      <x:c r="E37" t="str">
        <x:v>Instagram</x:v>
      </x:c>
      <x:c r="F37" t="str">
        <x:v>Udaipur</x:v>
      </x:c>
      <x:c r="G37" t="str">
        <x:v>Blue Pottery</x:v>
      </x:c>
      <x:c r="H37" t="n">
        <x:v>2</x:v>
      </x:c>
      <x:c r="I37" s="16" t="n">
        <x:v>1800</x:v>
      </x:c>
      <x:c r="J37" s="16" t="str">
        <x:v>Completed</x:v>
      </x:c>
      <x:c r="K37" s="16" t="n">
        <x:f>H37*I37</x:f>
        <x:v>3600</x:v>
      </x:c>
      <x:c r="L37" s="16" t="n">
        <x:f>IF(J37="Completed",K37*0.80,0)</x:f>
        <x:v>2880</x:v>
      </x:c>
      <x:c r="M37" s="18" t="n">
        <x:v>4.5</x:v>
      </x:c>
      <x:c r="N37" t="str">
        <x:v>No</x:v>
      </x:c>
      <x:c r="O37" t="str">
        <x:v>Revenue / Enterprise Team</x:v>
      </x:c>
    </x:row>
    <x:row r="38">
      <x:c r="A38" t="str">
        <x:v>CRB5036</x:v>
      </x:c>
      <x:c r="B38" s="14" t="str">
        <x:v>2026-07-01</x:v>
      </x:c>
      <x:c r="C38" t="str">
        <x:v>Rahul Mehta</x:v>
      </x:c>
      <x:c r="D38" t="str">
        <x:v>u1179</x:v>
      </x:c>
      <x:c r="E38" t="str">
        <x:v>Google Search</x:v>
      </x:c>
      <x:c r="F38" t="str">
        <x:v>Udaipur</x:v>
      </x:c>
      <x:c r="G38" t="str">
        <x:v>Block Printing</x:v>
      </x:c>
      <x:c r="H38" t="n">
        <x:v>6</x:v>
      </x:c>
      <x:c r="I38" s="16" t="n">
        <x:v>3500</x:v>
      </x:c>
      <x:c r="J38" s="16" t="str">
        <x:v>Completed</x:v>
      </x:c>
      <x:c r="K38" s="16" t="n">
        <x:f>H38*I38</x:f>
        <x:v>21000</x:v>
      </x:c>
      <x:c r="L38" s="16" t="n">
        <x:f>IF(J38="Completed",K38*0.80,0)</x:f>
        <x:v>16800</x:v>
      </x:c>
      <x:c r="M38" s="18" t="n">
        <x:v>4.9</x:v>
      </x:c>
      <x:c r="N38" t="str">
        <x:v>No</x:v>
      </x:c>
      <x:c r="O38" t="str">
        <x:v>Revenue / Enterprise Team</x:v>
      </x:c>
    </x:row>
    <x:row r="39">
      <x:c r="A39" t="str">
        <x:v>CRB5037</x:v>
      </x:c>
      <x:c r="B39" s="14" t="str">
        <x:v>2026-07-01</x:v>
      </x:c>
      <x:c r="C39" t="str">
        <x:v>Rahul Mehta</x:v>
      </x:c>
      <x:c r="D39" t="str">
        <x:v>u1187</x:v>
      </x:c>
      <x:c r="E39" t="str">
        <x:v>Referral</x:v>
      </x:c>
      <x:c r="F39" t="str">
        <x:v>Varanasi</x:v>
      </x:c>
      <x:c r="G39" t="str">
        <x:v>Block Printing</x:v>
      </x:c>
      <x:c r="H39" t="n">
        <x:v>2</x:v>
      </x:c>
      <x:c r="I39" s="16" t="n">
        <x:v>1800</x:v>
      </x:c>
      <x:c r="J39" s="16" t="str">
        <x:v>Completed</x:v>
      </x:c>
      <x:c r="K39" s="16" t="n">
        <x:f>H39*I39</x:f>
        <x:v>3600</x:v>
      </x:c>
      <x:c r="L39" s="16" t="n">
        <x:f>IF(J39="Completed",K39*0.80,0)</x:f>
        <x:v>2880</x:v>
      </x:c>
      <x:c r="M39" s="18" t="n">
        <x:v>3.9</x:v>
      </x:c>
      <x:c r="N39" t="str">
        <x:v>No</x:v>
      </x:c>
      <x:c r="O39" t="str">
        <x:v>Customer Success</x:v>
      </x:c>
    </x:row>
    <x:row r="40">
      <x:c r="A40" t="str">
        <x:v>CRB5038</x:v>
      </x:c>
      <x:c r="B40" s="14" t="str">
        <x:v>2026-07-01</x:v>
      </x:c>
      <x:c r="C40" t="str">
        <x:v>Rahul Mehta</x:v>
      </x:c>
      <x:c r="D40" t="str">
        <x:v>u1189</x:v>
      </x:c>
      <x:c r="E40" t="str">
        <x:v>Referral</x:v>
      </x:c>
      <x:c r="F40" t="str">
        <x:v>Bangalore</x:v>
      </x:c>
      <x:c r="G40" t="str">
        <x:v>Warli Painting</x:v>
      </x:c>
      <x:c r="H40" t="n">
        <x:v>1</x:v>
      </x:c>
      <x:c r="I40" s="16" t="n">
        <x:v>3000</x:v>
      </x:c>
      <x:c r="J40" s="16" t="str">
        <x:v>Completed</x:v>
      </x:c>
      <x:c r="K40" s="16" t="n">
        <x:f>H40*I40</x:f>
        <x:v>3000</x:v>
      </x:c>
      <x:c r="L40" s="16" t="n">
        <x:f>IF(J40="Completed",K40*0.80,0)</x:f>
        <x:v>2400</x:v>
      </x:c>
      <x:c r="M40" s="18" t="n">
        <x:v>4.3</x:v>
      </x:c>
      <x:c r="N40" t="str">
        <x:v>No</x:v>
      </x:c>
      <x:c r="O40" t="str">
        <x:v>Customer Success</x:v>
      </x:c>
    </x:row>
    <x:row r="41">
      <x:c r="A41" t="str">
        <x:v>CRB5039</x:v>
      </x:c>
      <x:c r="B41" s="14" t="str">
        <x:v>2026-07-01</x:v>
      </x:c>
      <x:c r="C41" t="str">
        <x:v>Sofia Martinez</x:v>
      </x:c>
      <x:c r="D41" t="str">
        <x:v>u1194</x:v>
      </x:c>
      <x:c r="E41" t="str">
        <x:v>Google Search</x:v>
      </x:c>
      <x:c r="F41" t="str">
        <x:v>Khurja</x:v>
      </x:c>
      <x:c r="G41" t="str">
        <x:v>Blue Pottery</x:v>
      </x:c>
      <x:c r="H41" t="n">
        <x:v>6</x:v>
      </x:c>
      <x:c r="I41" s="16" t="n">
        <x:v>1500</x:v>
      </x:c>
      <x:c r="J41" s="16" t="str">
        <x:v>Completed</x:v>
      </x:c>
      <x:c r="K41" s="16" t="n">
        <x:f>H41*I41</x:f>
        <x:v>9000</x:v>
      </x:c>
      <x:c r="L41" s="16" t="n">
        <x:f>IF(J41="Completed",K41*0.80,0)</x:f>
        <x:v>7200</x:v>
      </x:c>
      <x:c r="M41" s="18" t="n">
        <x:v>4.3</x:v>
      </x:c>
      <x:c r="N41" t="str">
        <x:v>Yes</x:v>
      </x:c>
      <x:c r="O41" t="str">
        <x:v>Customer Success</x:v>
      </x:c>
    </x:row>
    <x:row r="42">
      <x:c r="A42" t="str">
        <x:v>CRB5040</x:v>
      </x:c>
      <x:c r="B42" s="14" t="str">
        <x:v>2026-07-01</x:v>
      </x:c>
      <x:c r="C42" t="str">
        <x:v>Ananya Reddy</x:v>
      </x:c>
      <x:c r="D42" t="str">
        <x:v>u1199</x:v>
      </x:c>
      <x:c r="E42" t="str">
        <x:v>Referral</x:v>
      </x:c>
      <x:c r="F42" t="str">
        <x:v>Khurja</x:v>
      </x:c>
      <x:c r="G42" t="str">
        <x:v>Weaving</x:v>
      </x:c>
      <x:c r="H42" t="n">
        <x:v>3</x:v>
      </x:c>
      <x:c r="I42" s="16" t="n">
        <x:v>3500</x:v>
      </x:c>
      <x:c r="J42" s="16" t="str">
        <x:v>Completed</x:v>
      </x:c>
      <x:c r="K42" s="16" t="n">
        <x:f>H42*I42</x:f>
        <x:v>10500</x:v>
      </x:c>
      <x:c r="L42" s="16" t="n">
        <x:f>IF(J42="Completed",K42*0.80,0)</x:f>
        <x:v>8400</x:v>
      </x:c>
      <x:c r="M42" s="18" t="n">
        <x:v>4.8</x:v>
      </x:c>
      <x:c r="N42" t="str">
        <x:v>No</x:v>
      </x:c>
      <x:c r="O42" t="str">
        <x:v>Traveler Success</x:v>
      </x:c>
    </x:row>
    <x:row r="43">
      <x:c r="A43" t="str">
        <x:v>CRB5041</x:v>
      </x:c>
      <x:c r="B43" s="14" t="str">
        <x:v>2026-07-02</x:v>
      </x:c>
      <x:c r="C43" t="str">
        <x:v>Mark Thompson</x:v>
      </x:c>
      <x:c r="D43" t="str">
        <x:v>u1210</x:v>
      </x:c>
      <x:c r="E43" t="str">
        <x:v>Referral</x:v>
      </x:c>
      <x:c r="F43" t="str">
        <x:v>Jaipur</x:v>
      </x:c>
      <x:c r="G43" t="str">
        <x:v>Warli Painting</x:v>
      </x:c>
      <x:c r="H43" t="n">
        <x:v>12</x:v>
      </x:c>
      <x:c r="I43" s="16" t="n">
        <x:v>2500</x:v>
      </x:c>
      <x:c r="J43" s="16" t="str">
        <x:v>Completed</x:v>
      </x:c>
      <x:c r="K43" s="16" t="n">
        <x:f>H43*I43</x:f>
        <x:v>30000</x:v>
      </x:c>
      <x:c r="L43" s="16" t="n">
        <x:f>IF(J43="Completed",K43*0.80,0)</x:f>
        <x:v>24000</x:v>
      </x:c>
      <x:c r="M43" s="18" t="n">
        <x:v>4.2</x:v>
      </x:c>
      <x:c r="N43" t="str">
        <x:v>No</x:v>
      </x:c>
      <x:c r="O43" t="str">
        <x:v>Customer Success</x:v>
      </x:c>
    </x:row>
    <x:row r="44">
      <x:c r="A44" t="str">
        <x:v>CRB5042</x:v>
      </x:c>
      <x:c r="B44" s="14" t="str">
        <x:v>2026-07-02</x:v>
      </x:c>
      <x:c r="C44" t="str">
        <x:v>Rahul Mehta</x:v>
      </x:c>
      <x:c r="D44" t="str">
        <x:v>u1215</x:v>
      </x:c>
      <x:c r="E44" t="str">
        <x:v>Travel Blog</x:v>
      </x:c>
      <x:c r="F44" t="str">
        <x:v>Khurja</x:v>
      </x:c>
      <x:c r="G44" t="str">
        <x:v>Warli Painting</x:v>
      </x:c>
      <x:c r="H44" t="n">
        <x:v>6</x:v>
      </x:c>
      <x:c r="I44" s="16" t="n">
        <x:v>3500</x:v>
      </x:c>
      <x:c r="J44" s="16" t="str">
        <x:v>Completed</x:v>
      </x:c>
      <x:c r="K44" s="16" t="n">
        <x:f>H44*I44</x:f>
        <x:v>21000</x:v>
      </x:c>
      <x:c r="L44" s="16" t="n">
        <x:f>IF(J44="Completed",K44*0.80,0)</x:f>
        <x:v>16800</x:v>
      </x:c>
      <x:c r="M44" s="18" t="n">
        <x:v>4.9</x:v>
      </x:c>
      <x:c r="N44" t="str">
        <x:v>Yes</x:v>
      </x:c>
      <x:c r="O44" t="str">
        <x:v>Revenue / Enterprise Team</x:v>
      </x:c>
    </x:row>
    <x:row r="45">
      <x:c r="A45" t="str">
        <x:v>CRB5043</x:v>
      </x:c>
      <x:c r="B45" s="14" t="str">
        <x:v>2026-07-02</x:v>
      </x:c>
      <x:c r="C45" t="str">
        <x:v>Rahul Mehta</x:v>
      </x:c>
      <x:c r="D45" t="str">
        <x:v>u1226</x:v>
      </x:c>
      <x:c r="E45" t="str">
        <x:v>Travel Blog</x:v>
      </x:c>
      <x:c r="F45" t="str">
        <x:v>Khurja</x:v>
      </x:c>
      <x:c r="G45" t="str">
        <x:v>Pottery</x:v>
      </x:c>
      <x:c r="H45" t="n">
        <x:v>12</x:v>
      </x:c>
      <x:c r="I45" s="16" t="n">
        <x:v>3500</x:v>
      </x:c>
      <x:c r="J45" s="16" t="str">
        <x:v>Completed</x:v>
      </x:c>
      <x:c r="K45" s="16" t="n">
        <x:f>H45*I45</x:f>
        <x:v>42000</x:v>
      </x:c>
      <x:c r="L45" s="16" t="n">
        <x:f>IF(J45="Completed",K45*0.80,0)</x:f>
        <x:v>33600</x:v>
      </x:c>
      <x:c r="M45" s="18" t="n">
        <x:v>4.7</x:v>
      </x:c>
      <x:c r="N45" t="str">
        <x:v>Yes</x:v>
      </x:c>
      <x:c r="O45" t="str">
        <x:v>Customer Success</x:v>
      </x:c>
    </x:row>
    <x:row r="46">
      <x:c r="A46" t="str">
        <x:v>CRB5044</x:v>
      </x:c>
      <x:c r="B46" s="14" t="str">
        <x:v>2026-07-02</x:v>
      </x:c>
      <x:c r="C46" t="str">
        <x:v>Rahul Mehta</x:v>
      </x:c>
      <x:c r="D46" t="str">
        <x:v>u1232</x:v>
      </x:c>
      <x:c r="E46" t="str">
        <x:v>Travel Blog</x:v>
      </x:c>
      <x:c r="F46" t="str">
        <x:v>Khurja</x:v>
      </x:c>
      <x:c r="G46" t="str">
        <x:v>Blue Pottery</x:v>
      </x:c>
      <x:c r="H46" t="n">
        <x:v>4</x:v>
      </x:c>
      <x:c r="I46" s="16" t="n">
        <x:v>1800</x:v>
      </x:c>
      <x:c r="J46" s="16" t="str">
        <x:v>Completed</x:v>
      </x:c>
      <x:c r="K46" s="16" t="n">
        <x:f>H46*I46</x:f>
        <x:v>7200</x:v>
      </x:c>
      <x:c r="L46" s="16" t="n">
        <x:f>IF(J46="Completed",K46*0.80,0)</x:f>
        <x:v>5760</x:v>
      </x:c>
      <x:c r="M46" s="18" t="n">
        <x:v>4.7</x:v>
      </x:c>
      <x:c r="N46" t="str">
        <x:v>No</x:v>
      </x:c>
      <x:c r="O46" t="str">
        <x:v>Traveler Success</x:v>
      </x:c>
    </x:row>
    <x:row r="47">
      <x:c r="A47" t="str">
        <x:v>CRB5045</x:v>
      </x:c>
      <x:c r="B47" s="14" t="str">
        <x:v>2026-07-02</x:v>
      </x:c>
      <x:c r="C47" t="str">
        <x:v>Priya Sharma</x:v>
      </x:c>
      <x:c r="D47" t="str">
        <x:v>u1233</x:v>
      </x:c>
      <x:c r="E47" t="str">
        <x:v>Referral</x:v>
      </x:c>
      <x:c r="F47" t="str">
        <x:v>Khurja</x:v>
      </x:c>
      <x:c r="G47" t="str">
        <x:v>Weaving</x:v>
      </x:c>
      <x:c r="H47" t="n">
        <x:v>12</x:v>
      </x:c>
      <x:c r="I47" s="16" t="n">
        <x:v>1500</x:v>
      </x:c>
      <x:c r="J47" s="16" t="str">
        <x:v>Completed</x:v>
      </x:c>
      <x:c r="K47" s="16" t="n">
        <x:f>H47*I47</x:f>
        <x:v>18000</x:v>
      </x:c>
      <x:c r="L47" s="16" t="n">
        <x:f>IF(J47="Completed",K47*0.80,0)</x:f>
        <x:v>14400</x:v>
      </x:c>
      <x:c r="M47" s="18" t="n">
        <x:v>4.5</x:v>
      </x:c>
      <x:c r="N47" t="str">
        <x:v>No</x:v>
      </x:c>
      <x:c r="O47" t="str">
        <x:v>Revenue / Enterprise Team</x:v>
      </x:c>
    </x:row>
    <x:row r="48">
      <x:c r="A48" t="str">
        <x:v>CRB5046</x:v>
      </x:c>
      <x:c r="B48" s="14" t="str">
        <x:v>2026-07-02</x:v>
      </x:c>
      <x:c r="C48" t="str">
        <x:v>Ananya Reddy</x:v>
      </x:c>
      <x:c r="D48" t="str">
        <x:v>u1237</x:v>
      </x:c>
      <x:c r="E48" t="str">
        <x:v>Direct</x:v>
      </x:c>
      <x:c r="F48" t="str">
        <x:v>Jaipur</x:v>
      </x:c>
      <x:c r="G48" t="str">
        <x:v>Blue Pottery</x:v>
      </x:c>
      <x:c r="H48" t="n">
        <x:v>6</x:v>
      </x:c>
      <x:c r="I48" s="16" t="n">
        <x:v>2000</x:v>
      </x:c>
      <x:c r="J48" s="16" t="str">
        <x:v>Completed</x:v>
      </x:c>
      <x:c r="K48" s="16" t="n">
        <x:f>H48*I48</x:f>
        <x:v>12000</x:v>
      </x:c>
      <x:c r="L48" s="16" t="n">
        <x:f>IF(J48="Completed",K48*0.80,0)</x:f>
        <x:v>9600</x:v>
      </x:c>
      <x:c r="M48" s="18" t="n">
        <x:v>3.9</x:v>
      </x:c>
      <x:c r="N48" t="str">
        <x:v>Yes</x:v>
      </x:c>
      <x:c r="O48" t="str">
        <x:v>Revenue / Enterprise Team</x:v>
      </x:c>
    </x:row>
    <x:row r="49">
      <x:c r="A49" t="str">
        <x:v>CRB5047</x:v>
      </x:c>
      <x:c r="B49" s="14" t="str">
        <x:v>2026-07-02</x:v>
      </x:c>
      <x:c r="C49" t="str">
        <x:v>Rahul Mehta</x:v>
      </x:c>
      <x:c r="D49" t="str">
        <x:v>u1240</x:v>
      </x:c>
      <x:c r="E49" t="str">
        <x:v>Instagram</x:v>
      </x:c>
      <x:c r="F49" t="str">
        <x:v>Udaipur</x:v>
      </x:c>
      <x:c r="G49" t="str">
        <x:v>Block Printing</x:v>
      </x:c>
      <x:c r="H49" t="n">
        <x:v>1</x:v>
      </x:c>
      <x:c r="I49" s="16" t="n">
        <x:v>2000</x:v>
      </x:c>
      <x:c r="J49" s="16" t="str">
        <x:v>Cancelled</x:v>
      </x:c>
      <x:c r="K49" s="16" t="n">
        <x:f>H49*I49</x:f>
        <x:v>2000</x:v>
      </x:c>
      <x:c r="L49" s="16" t="n">
        <x:f>IF(J49="Completed",K49*0.80,0)</x:f>
        <x:v>0</x:v>
      </x:c>
      <x:c r="M49" s="18" t="str"/>
      <x:c r="N49" t="str">
        <x:v>No</x:v>
      </x:c>
      <x:c r="O49" t="str">
        <x:v>Revenue / Enterprise Team</x:v>
      </x:c>
    </x:row>
    <x:row r="50">
      <x:c r="A50" t="str">
        <x:v>CRB5048</x:v>
      </x:c>
      <x:c r="B50" s="14" t="str">
        <x:v>2026-07-02</x:v>
      </x:c>
      <x:c r="C50" t="str">
        <x:v>Sofia Martinez</x:v>
      </x:c>
      <x:c r="D50" t="str">
        <x:v>u1241</x:v>
      </x:c>
      <x:c r="E50" t="str">
        <x:v>Travel Blog</x:v>
      </x:c>
      <x:c r="F50" t="str">
        <x:v>Varanasi</x:v>
      </x:c>
      <x:c r="G50" t="str">
        <x:v>Block Printing</x:v>
      </x:c>
      <x:c r="H50" t="n">
        <x:v>1</x:v>
      </x:c>
      <x:c r="I50" s="16" t="n">
        <x:v>3500</x:v>
      </x:c>
      <x:c r="J50" s="16" t="str">
        <x:v>Completed</x:v>
      </x:c>
      <x:c r="K50" s="16" t="n">
        <x:f>H50*I50</x:f>
        <x:v>3500</x:v>
      </x:c>
      <x:c r="L50" s="16" t="n">
        <x:f>IF(J50="Completed",K50*0.80,0)</x:f>
        <x:v>2800</x:v>
      </x:c>
      <x:c r="M50" s="18" t="n">
        <x:v>4.8</x:v>
      </x:c>
      <x:c r="N50" t="str">
        <x:v>No</x:v>
      </x:c>
      <x:c r="O50" t="str">
        <x:v>Revenue / Enterprise Team</x:v>
      </x:c>
    </x:row>
    <x:row r="51">
      <x:c r="A51" t="str">
        <x:v>CRB5049</x:v>
      </x:c>
      <x:c r="B51" s="14" t="str">
        <x:v>2026-07-02</x:v>
      </x:c>
      <x:c r="C51" t="str">
        <x:v>Ananya Reddy</x:v>
      </x:c>
      <x:c r="D51" t="str">
        <x:v>u1243</x:v>
      </x:c>
      <x:c r="E51" t="str">
        <x:v>Travel Blog</x:v>
      </x:c>
      <x:c r="F51" t="str">
        <x:v>Varanasi</x:v>
      </x:c>
      <x:c r="G51" t="str">
        <x:v>Warli Painting</x:v>
      </x:c>
      <x:c r="H51" t="n">
        <x:v>10</x:v>
      </x:c>
      <x:c r="I51" s="16" t="n">
        <x:v>2500</x:v>
      </x:c>
      <x:c r="J51" s="16" t="str">
        <x:v>No-show</x:v>
      </x:c>
      <x:c r="K51" s="16" t="n">
        <x:f>H51*I51</x:f>
        <x:v>25000</x:v>
      </x:c>
      <x:c r="L51" s="16" t="n">
        <x:f>IF(J51="Completed",K51*0.80,0)</x:f>
        <x:v>0</x:v>
      </x:c>
      <x:c r="M51" s="18" t="str"/>
      <x:c r="N51" t="str">
        <x:v>No</x:v>
      </x:c>
      <x:c r="O51" t="str">
        <x:v>Customer Success</x:v>
      </x:c>
    </x:row>
    <x:row r="52">
      <x:c r="A52" t="str">
        <x:v>CRB5050</x:v>
      </x:c>
      <x:c r="B52" s="14" t="str">
        <x:v>2026-07-02</x:v>
      </x:c>
      <x:c r="C52" t="str">
        <x:v>Rahul Mehta</x:v>
      </x:c>
      <x:c r="D52" t="str">
        <x:v>u1250</x:v>
      </x:c>
      <x:c r="E52" t="str">
        <x:v>Referral</x:v>
      </x:c>
      <x:c r="F52" t="str">
        <x:v>Varanasi</x:v>
      </x:c>
      <x:c r="G52" t="str">
        <x:v>Blue Pottery</x:v>
      </x:c>
      <x:c r="H52" t="n">
        <x:v>12</x:v>
      </x:c>
      <x:c r="I52" s="16" t="n">
        <x:v>2000</x:v>
      </x:c>
      <x:c r="J52" s="16" t="str">
        <x:v>Completed</x:v>
      </x:c>
      <x:c r="K52" s="16" t="n">
        <x:f>H52*I52</x:f>
        <x:v>24000</x:v>
      </x:c>
      <x:c r="L52" s="16" t="n">
        <x:f>IF(J52="Completed",K52*0.80,0)</x:f>
        <x:v>19200</x:v>
      </x:c>
      <x:c r="M52" s="18" t="n">
        <x:v>4.5</x:v>
      </x:c>
      <x:c r="N52" t="str">
        <x:v>No</x:v>
      </x:c>
      <x:c r="O52" t="str">
        <x:v>Customer Success</x:v>
      </x:c>
    </x:row>
    <x:row r="53">
      <x:c r="A53" t="str">
        <x:v>CRB5051</x:v>
      </x:c>
      <x:c r="B53" s="14" t="str">
        <x:v>2026-07-02</x:v>
      </x:c>
      <x:c r="C53" t="str">
        <x:v>Ananya Reddy</x:v>
      </x:c>
      <x:c r="D53" t="str">
        <x:v>u1251</x:v>
      </x:c>
      <x:c r="E53" t="str">
        <x:v>Referral</x:v>
      </x:c>
      <x:c r="F53" t="str">
        <x:v>Varanasi</x:v>
      </x:c>
      <x:c r="G53" t="str">
        <x:v>Pottery</x:v>
      </x:c>
      <x:c r="H53" t="n">
        <x:v>10</x:v>
      </x:c>
      <x:c r="I53" s="16" t="n">
        <x:v>2500</x:v>
      </x:c>
      <x:c r="J53" s="16" t="str">
        <x:v>Completed</x:v>
      </x:c>
      <x:c r="K53" s="16" t="n">
        <x:f>H53*I53</x:f>
        <x:v>25000</x:v>
      </x:c>
      <x:c r="L53" s="16" t="n">
        <x:f>IF(J53="Completed",K53*0.80,0)</x:f>
        <x:v>20000</x:v>
      </x:c>
      <x:c r="M53" s="18" t="n">
        <x:v>4.6</x:v>
      </x:c>
      <x:c r="N53" t="str">
        <x:v>No</x:v>
      </x:c>
      <x:c r="O53" t="str">
        <x:v>Revenue / Enterprise Team</x:v>
      </x:c>
    </x:row>
    <x:row r="54">
      <x:c r="A54" t="str">
        <x:v>CRB5052</x:v>
      </x:c>
      <x:c r="B54" s="14" t="str">
        <x:v>2026-07-02</x:v>
      </x:c>
      <x:c r="C54" t="str">
        <x:v>Mark Thompson</x:v>
      </x:c>
      <x:c r="D54" t="str">
        <x:v>u1252</x:v>
      </x:c>
      <x:c r="E54" t="str">
        <x:v>Travel Blog</x:v>
      </x:c>
      <x:c r="F54" t="str">
        <x:v>Khurja</x:v>
      </x:c>
      <x:c r="G54" t="str">
        <x:v>Block Printing</x:v>
      </x:c>
      <x:c r="H54" t="n">
        <x:v>12</x:v>
      </x:c>
      <x:c r="I54" s="16" t="n">
        <x:v>1500</x:v>
      </x:c>
      <x:c r="J54" s="16" t="str">
        <x:v>Completed</x:v>
      </x:c>
      <x:c r="K54" s="16" t="n">
        <x:f>H54*I54</x:f>
        <x:v>18000</x:v>
      </x:c>
      <x:c r="L54" s="16" t="n">
        <x:f>IF(J54="Completed",K54*0.80,0)</x:f>
        <x:v>14400</x:v>
      </x:c>
      <x:c r="M54" s="18" t="n">
        <x:v>5</x:v>
      </x:c>
      <x:c r="N54" t="str">
        <x:v>Yes</x:v>
      </x:c>
      <x:c r="O54" t="str">
        <x:v>Revenue / Enterprise Team</x:v>
      </x:c>
    </x:row>
    <x:row r="55">
      <x:c r="A55" t="str">
        <x:v>CRB5053</x:v>
      </x:c>
      <x:c r="B55" s="14" t="str">
        <x:v>2026-07-02</x:v>
      </x:c>
      <x:c r="C55" t="str">
        <x:v>Mark Thompson</x:v>
      </x:c>
      <x:c r="D55" t="str">
        <x:v>u1260</x:v>
      </x:c>
      <x:c r="E55" t="str">
        <x:v>Direct</x:v>
      </x:c>
      <x:c r="F55" t="str">
        <x:v>Bangalore</x:v>
      </x:c>
      <x:c r="G55" t="str">
        <x:v>Pottery</x:v>
      </x:c>
      <x:c r="H55" t="n">
        <x:v>1</x:v>
      </x:c>
      <x:c r="I55" s="16" t="n">
        <x:v>3500</x:v>
      </x:c>
      <x:c r="J55" s="16" t="str">
        <x:v>Completed</x:v>
      </x:c>
      <x:c r="K55" s="16" t="n">
        <x:f>H55*I55</x:f>
        <x:v>3500</x:v>
      </x:c>
      <x:c r="L55" s="16" t="n">
        <x:f>IF(J55="Completed",K55*0.80,0)</x:f>
        <x:v>2800</x:v>
      </x:c>
      <x:c r="M55" s="18" t="n">
        <x:v>4</x:v>
      </x:c>
      <x:c r="N55" t="str">
        <x:v>No</x:v>
      </x:c>
      <x:c r="O55" t="str">
        <x:v>Customer Success</x:v>
      </x:c>
    </x:row>
    <x:row r="56">
      <x:c r="A56" t="str">
        <x:v>CRB5054</x:v>
      </x:c>
      <x:c r="B56" s="14" t="str">
        <x:v>2026-07-02</x:v>
      </x:c>
      <x:c r="C56" t="str">
        <x:v>Mark Thompson</x:v>
      </x:c>
      <x:c r="D56" t="str">
        <x:v>u1268</x:v>
      </x:c>
      <x:c r="E56" t="str">
        <x:v>Travel Blog</x:v>
      </x:c>
      <x:c r="F56" t="str">
        <x:v>Khurja</x:v>
      </x:c>
      <x:c r="G56" t="str">
        <x:v>Blue Pottery</x:v>
      </x:c>
      <x:c r="H56" t="n">
        <x:v>12</x:v>
      </x:c>
      <x:c r="I56" s="16" t="n">
        <x:v>2200</x:v>
      </x:c>
      <x:c r="J56" s="16" t="str">
        <x:v>Completed</x:v>
      </x:c>
      <x:c r="K56" s="16" t="n">
        <x:f>H56*I56</x:f>
        <x:v>26400</x:v>
      </x:c>
      <x:c r="L56" s="16" t="n">
        <x:f>IF(J56="Completed",K56*0.80,0)</x:f>
        <x:v>21120</x:v>
      </x:c>
      <x:c r="M56" s="18" t="n">
        <x:v>4.5</x:v>
      </x:c>
      <x:c r="N56" t="str">
        <x:v>No</x:v>
      </x:c>
      <x:c r="O56" t="str">
        <x:v>Revenue / Enterprise Team</x:v>
      </x:c>
    </x:row>
    <x:row r="57">
      <x:c r="A57" t="str">
        <x:v>CRB5055</x:v>
      </x:c>
      <x:c r="B57" s="14" t="str">
        <x:v>2026-07-02</x:v>
      </x:c>
      <x:c r="C57" t="str">
        <x:v>Ananya Reddy</x:v>
      </x:c>
      <x:c r="D57" t="str">
        <x:v>u1270</x:v>
      </x:c>
      <x:c r="E57" t="str">
        <x:v>Instagram</x:v>
      </x:c>
      <x:c r="F57" t="str">
        <x:v>Varanasi</x:v>
      </x:c>
      <x:c r="G57" t="str">
        <x:v>Pottery</x:v>
      </x:c>
      <x:c r="H57" t="n">
        <x:v>2</x:v>
      </x:c>
      <x:c r="I57" s="16" t="n">
        <x:v>1500</x:v>
      </x:c>
      <x:c r="J57" s="16" t="str">
        <x:v>Completed</x:v>
      </x:c>
      <x:c r="K57" s="16" t="n">
        <x:f>H57*I57</x:f>
        <x:v>3000</x:v>
      </x:c>
      <x:c r="L57" s="16" t="n">
        <x:f>IF(J57="Completed",K57*0.80,0)</x:f>
        <x:v>2400</x:v>
      </x:c>
      <x:c r="M57" s="18" t="n">
        <x:v>4.5</x:v>
      </x:c>
      <x:c r="N57" t="str">
        <x:v>No</x:v>
      </x:c>
      <x:c r="O57" t="str">
        <x:v>Customer Success</x:v>
      </x:c>
    </x:row>
    <x:row r="58">
      <x:c r="A58" t="str">
        <x:v>CRB5056</x:v>
      </x:c>
      <x:c r="B58" s="14" t="str">
        <x:v>2026-07-02</x:v>
      </x:c>
      <x:c r="C58" t="str">
        <x:v>Sofia Martinez</x:v>
      </x:c>
      <x:c r="D58" t="str">
        <x:v>u1273</x:v>
      </x:c>
      <x:c r="E58" t="str">
        <x:v>Instagram</x:v>
      </x:c>
      <x:c r="F58" t="str">
        <x:v>Udaipur</x:v>
      </x:c>
      <x:c r="G58" t="str">
        <x:v>Warli Painting</x:v>
      </x:c>
      <x:c r="H58" t="n">
        <x:v>1</x:v>
      </x:c>
      <x:c r="I58" s="16" t="n">
        <x:v>1500</x:v>
      </x:c>
      <x:c r="J58" s="16" t="str">
        <x:v>Completed</x:v>
      </x:c>
      <x:c r="K58" s="16" t="n">
        <x:f>H58*I58</x:f>
        <x:v>1500</x:v>
      </x:c>
      <x:c r="L58" s="16" t="n">
        <x:f>IF(J58="Completed",K58*0.80,0)</x:f>
        <x:v>1200</x:v>
      </x:c>
      <x:c r="M58" s="18" t="n">
        <x:v>4.8</x:v>
      </x:c>
      <x:c r="N58" t="str">
        <x:v>No</x:v>
      </x:c>
      <x:c r="O58" t="str">
        <x:v>Revenue / Enterprise Team</x:v>
      </x:c>
    </x:row>
    <x:row r="59">
      <x:c r="A59" t="str">
        <x:v>CRB5057</x:v>
      </x:c>
      <x:c r="B59" s="14" t="str">
        <x:v>2026-07-02</x:v>
      </x:c>
      <x:c r="C59" t="str">
        <x:v>Mark Thompson</x:v>
      </x:c>
      <x:c r="D59" t="str">
        <x:v>u1274</x:v>
      </x:c>
      <x:c r="E59" t="str">
        <x:v>Instagram</x:v>
      </x:c>
      <x:c r="F59" t="str">
        <x:v>Jaipur</x:v>
      </x:c>
      <x:c r="G59" t="str">
        <x:v>Blue Pottery</x:v>
      </x:c>
      <x:c r="H59" t="n">
        <x:v>10</x:v>
      </x:c>
      <x:c r="I59" s="16" t="n">
        <x:v>2000</x:v>
      </x:c>
      <x:c r="J59" s="16" t="str">
        <x:v>Completed</x:v>
      </x:c>
      <x:c r="K59" s="16" t="n">
        <x:f>H59*I59</x:f>
        <x:v>20000</x:v>
      </x:c>
      <x:c r="L59" s="16" t="n">
        <x:f>IF(J59="Completed",K59*0.80,0)</x:f>
        <x:v>16000</x:v>
      </x:c>
      <x:c r="M59" s="18" t="n">
        <x:v>4.5</x:v>
      </x:c>
      <x:c r="N59" t="str">
        <x:v>No</x:v>
      </x:c>
      <x:c r="O59" t="str">
        <x:v>Traveler Success</x:v>
      </x:c>
    </x:row>
    <x:row r="60">
      <x:c r="A60" t="str">
        <x:v>CRB5058</x:v>
      </x:c>
      <x:c r="B60" s="14" t="str">
        <x:v>2026-07-02</x:v>
      </x:c>
      <x:c r="C60" t="str">
        <x:v>Rahul Mehta</x:v>
      </x:c>
      <x:c r="D60" t="str">
        <x:v>u1277</x:v>
      </x:c>
      <x:c r="E60" t="str">
        <x:v>Referral</x:v>
      </x:c>
      <x:c r="F60" t="str">
        <x:v>Bangalore</x:v>
      </x:c>
      <x:c r="G60" t="str">
        <x:v>Weaving</x:v>
      </x:c>
      <x:c r="H60" t="n">
        <x:v>1</x:v>
      </x:c>
      <x:c r="I60" s="16" t="n">
        <x:v>1500</x:v>
      </x:c>
      <x:c r="J60" s="16" t="str">
        <x:v>Completed</x:v>
      </x:c>
      <x:c r="K60" s="16" t="n">
        <x:f>H60*I60</x:f>
        <x:v>1500</x:v>
      </x:c>
      <x:c r="L60" s="16" t="n">
        <x:f>IF(J60="Completed",K60*0.80,0)</x:f>
        <x:v>1200</x:v>
      </x:c>
      <x:c r="M60" s="18" t="n">
        <x:v>4.8</x:v>
      </x:c>
      <x:c r="N60" t="str">
        <x:v>No</x:v>
      </x:c>
      <x:c r="O60" t="str">
        <x:v>Traveler Success</x:v>
      </x:c>
    </x:row>
    <x:row r="61">
      <x:c r="A61" t="str">
        <x:v>CRB5059</x:v>
      </x:c>
      <x:c r="B61" s="14" t="str">
        <x:v>2026-07-02</x:v>
      </x:c>
      <x:c r="C61" t="str">
        <x:v>Rahul Mehta</x:v>
      </x:c>
      <x:c r="D61" t="str">
        <x:v>u1286</x:v>
      </x:c>
      <x:c r="E61" t="str">
        <x:v>Google Search</x:v>
      </x:c>
      <x:c r="F61" t="str">
        <x:v>Jaipur</x:v>
      </x:c>
      <x:c r="G61" t="str">
        <x:v>Warli Painting</x:v>
      </x:c>
      <x:c r="H61" t="n">
        <x:v>6</x:v>
      </x:c>
      <x:c r="I61" s="16" t="n">
        <x:v>2200</x:v>
      </x:c>
      <x:c r="J61" s="16" t="str">
        <x:v>Completed</x:v>
      </x:c>
      <x:c r="K61" s="16" t="n">
        <x:f>H61*I61</x:f>
        <x:v>13200</x:v>
      </x:c>
      <x:c r="L61" s="16" t="n">
        <x:f>IF(J61="Completed",K61*0.80,0)</x:f>
        <x:v>10560</x:v>
      </x:c>
      <x:c r="M61" s="18" t="n">
        <x:v>4.3</x:v>
      </x:c>
      <x:c r="N61" t="str">
        <x:v>No</x:v>
      </x:c>
      <x:c r="O61" t="str">
        <x:v>Revenue / Enterprise Team</x:v>
      </x:c>
    </x:row>
    <x:row r="62">
      <x:c r="A62" t="str">
        <x:v>CRB5060</x:v>
      </x:c>
      <x:c r="B62" s="14" t="str">
        <x:v>2026-07-02</x:v>
      </x:c>
      <x:c r="C62" t="str">
        <x:v>Sofia Martinez</x:v>
      </x:c>
      <x:c r="D62" t="str">
        <x:v>u1290</x:v>
      </x:c>
      <x:c r="E62" t="str">
        <x:v>Referral</x:v>
      </x:c>
      <x:c r="F62" t="str">
        <x:v>Bangalore</x:v>
      </x:c>
      <x:c r="G62" t="str">
        <x:v>Blue Pottery</x:v>
      </x:c>
      <x:c r="H62" t="n">
        <x:v>3</x:v>
      </x:c>
      <x:c r="I62" s="16" t="n">
        <x:v>2000</x:v>
      </x:c>
      <x:c r="J62" s="16" t="str">
        <x:v>Completed</x:v>
      </x:c>
      <x:c r="K62" s="16" t="n">
        <x:f>H62*I62</x:f>
        <x:v>6000</x:v>
      </x:c>
      <x:c r="L62" s="16" t="n">
        <x:f>IF(J62="Completed",K62*0.80,0)</x:f>
        <x:v>4800</x:v>
      </x:c>
      <x:c r="M62" s="18" t="n">
        <x:v>4.6</x:v>
      </x:c>
      <x:c r="N62" t="str">
        <x:v>No</x:v>
      </x:c>
      <x:c r="O62" t="str">
        <x:v>Customer Success</x:v>
      </x:c>
    </x:row>
    <x:row r="63">
      <x:c r="A63" t="str">
        <x:v>CRB5061</x:v>
      </x:c>
      <x:c r="B63" s="14" t="str">
        <x:v>2026-07-02</x:v>
      </x:c>
      <x:c r="C63" t="str">
        <x:v>Priya Sharma</x:v>
      </x:c>
      <x:c r="D63" t="str">
        <x:v>u1300</x:v>
      </x:c>
      <x:c r="E63" t="str">
        <x:v>Referral</x:v>
      </x:c>
      <x:c r="F63" t="str">
        <x:v>Varanasi</x:v>
      </x:c>
      <x:c r="G63" t="str">
        <x:v>Block Printing</x:v>
      </x:c>
      <x:c r="H63" t="n">
        <x:v>1</x:v>
      </x:c>
      <x:c r="I63" s="16" t="n">
        <x:v>1800</x:v>
      </x:c>
      <x:c r="J63" s="16" t="str">
        <x:v>Completed</x:v>
      </x:c>
      <x:c r="K63" s="16" t="n">
        <x:f>H63*I63</x:f>
        <x:v>1800</x:v>
      </x:c>
      <x:c r="L63" s="16" t="n">
        <x:f>IF(J63="Completed",K63*0.80,0)</x:f>
        <x:v>1440</x:v>
      </x:c>
      <x:c r="M63" s="18" t="n">
        <x:v>4.9</x:v>
      </x:c>
      <x:c r="N63" t="str">
        <x:v>No</x:v>
      </x:c>
      <x:c r="O63" t="str">
        <x:v>Customer Success</x:v>
      </x:c>
    </x:row>
    <x:row r="64">
      <x:c r="A64" t="str">
        <x:v>CRB5062</x:v>
      </x:c>
      <x:c r="B64" s="14" t="str">
        <x:v>2026-07-02</x:v>
      </x:c>
      <x:c r="C64" t="str">
        <x:v>Rahul Mehta</x:v>
      </x:c>
      <x:c r="D64" t="str">
        <x:v>u1310</x:v>
      </x:c>
      <x:c r="E64" t="str">
        <x:v>Referral</x:v>
      </x:c>
      <x:c r="F64" t="str">
        <x:v>Varanasi</x:v>
      </x:c>
      <x:c r="G64" t="str">
        <x:v>Warli Painting</x:v>
      </x:c>
      <x:c r="H64" t="n">
        <x:v>3</x:v>
      </x:c>
      <x:c r="I64" s="16" t="n">
        <x:v>1500</x:v>
      </x:c>
      <x:c r="J64" s="16" t="str">
        <x:v>Completed</x:v>
      </x:c>
      <x:c r="K64" s="16" t="n">
        <x:f>H64*I64</x:f>
        <x:v>4500</x:v>
      </x:c>
      <x:c r="L64" s="16" t="n">
        <x:f>IF(J64="Completed",K64*0.80,0)</x:f>
        <x:v>3600</x:v>
      </x:c>
      <x:c r="M64" s="18" t="n">
        <x:v>4</x:v>
      </x:c>
      <x:c r="N64" t="str">
        <x:v>No</x:v>
      </x:c>
      <x:c r="O64" t="str">
        <x:v>Revenue / Enterprise Team</x:v>
      </x:c>
    </x:row>
    <x:row r="65">
      <x:c r="A65" t="str">
        <x:v>CRB5063</x:v>
      </x:c>
      <x:c r="B65" s="14" t="str">
        <x:v>2026-07-02</x:v>
      </x:c>
      <x:c r="C65" t="str">
        <x:v>Rahul Mehta</x:v>
      </x:c>
      <x:c r="D65" t="str">
        <x:v>u1311</x:v>
      </x:c>
      <x:c r="E65" t="str">
        <x:v>Instagram</x:v>
      </x:c>
      <x:c r="F65" t="str">
        <x:v>Varanasi</x:v>
      </x:c>
      <x:c r="G65" t="str">
        <x:v>Weaving</x:v>
      </x:c>
      <x:c r="H65" t="n">
        <x:v>2</x:v>
      </x:c>
      <x:c r="I65" s="16" t="n">
        <x:v>2200</x:v>
      </x:c>
      <x:c r="J65" s="16" t="str">
        <x:v>Completed</x:v>
      </x:c>
      <x:c r="K65" s="16" t="n">
        <x:f>H65*I65</x:f>
        <x:v>4400</x:v>
      </x:c>
      <x:c r="L65" s="16" t="n">
        <x:f>IF(J65="Completed",K65*0.80,0)</x:f>
        <x:v>3520</x:v>
      </x:c>
      <x:c r="M65" s="18" t="n">
        <x:v>4.3</x:v>
      </x:c>
      <x:c r="N65" t="str">
        <x:v>No</x:v>
      </x:c>
      <x:c r="O65" t="str">
        <x:v>Revenue / Enterprise Team</x:v>
      </x:c>
    </x:row>
    <x:row r="66">
      <x:c r="A66" t="str">
        <x:v>CRB5064</x:v>
      </x:c>
      <x:c r="B66" s="14" t="str">
        <x:v>2026-07-02</x:v>
      </x:c>
      <x:c r="C66" t="str">
        <x:v>Priya Sharma</x:v>
      </x:c>
      <x:c r="D66" t="str">
        <x:v>u1312</x:v>
      </x:c>
      <x:c r="E66" t="str">
        <x:v>Google Search</x:v>
      </x:c>
      <x:c r="F66" t="str">
        <x:v>Khurja</x:v>
      </x:c>
      <x:c r="G66" t="str">
        <x:v>Warli Painting</x:v>
      </x:c>
      <x:c r="H66" t="n">
        <x:v>6</x:v>
      </x:c>
      <x:c r="I66" s="16" t="n">
        <x:v>1500</x:v>
      </x:c>
      <x:c r="J66" s="16" t="str">
        <x:v>Cancelled</x:v>
      </x:c>
      <x:c r="K66" s="16" t="n">
        <x:f>H66*I66</x:f>
        <x:v>9000</x:v>
      </x:c>
      <x:c r="L66" s="16" t="n">
        <x:f>IF(J66="Completed",K66*0.80,0)</x:f>
        <x:v>0</x:v>
      </x:c>
      <x:c r="M66" s="18" t="str"/>
      <x:c r="N66" t="str">
        <x:v>Yes</x:v>
      </x:c>
      <x:c r="O66" t="str">
        <x:v>Revenue / Enterprise Team</x:v>
      </x:c>
    </x:row>
    <x:row r="67">
      <x:c r="A67" t="str">
        <x:v>CRB5065</x:v>
      </x:c>
      <x:c r="B67" s="14" t="str">
        <x:v>2026-07-02</x:v>
      </x:c>
      <x:c r="C67" t="str">
        <x:v>Priya Sharma</x:v>
      </x:c>
      <x:c r="D67" t="str">
        <x:v>u1317</x:v>
      </x:c>
      <x:c r="E67" t="str">
        <x:v>Referral</x:v>
      </x:c>
      <x:c r="F67" t="str">
        <x:v>Jaipur</x:v>
      </x:c>
      <x:c r="G67" t="str">
        <x:v>Blue Pottery</x:v>
      </x:c>
      <x:c r="H67" t="n">
        <x:v>2</x:v>
      </x:c>
      <x:c r="I67" s="16" t="n">
        <x:v>1500</x:v>
      </x:c>
      <x:c r="J67" s="16" t="str">
        <x:v>Completed</x:v>
      </x:c>
      <x:c r="K67" s="16" t="n">
        <x:f>H67*I67</x:f>
        <x:v>3000</x:v>
      </x:c>
      <x:c r="L67" s="16" t="n">
        <x:f>IF(J67="Completed",K67*0.80,0)</x:f>
        <x:v>2400</x:v>
      </x:c>
      <x:c r="M67" s="18" t="n">
        <x:v>4.4</x:v>
      </x:c>
      <x:c r="N67" t="str">
        <x:v>Yes</x:v>
      </x:c>
      <x:c r="O67" t="str">
        <x:v>Customer Success</x:v>
      </x:c>
    </x:row>
    <x:row r="68">
      <x:c r="A68" t="str">
        <x:v>CRB5066</x:v>
      </x:c>
      <x:c r="B68" s="14" t="str">
        <x:v>2026-07-02</x:v>
      </x:c>
      <x:c r="C68" t="str">
        <x:v>Sofia Martinez</x:v>
      </x:c>
      <x:c r="D68" t="str">
        <x:v>u1318</x:v>
      </x:c>
      <x:c r="E68" t="str">
        <x:v>Instagram</x:v>
      </x:c>
      <x:c r="F68" t="str">
        <x:v>Varanasi</x:v>
      </x:c>
      <x:c r="G68" t="str">
        <x:v>Blue Pottery</x:v>
      </x:c>
      <x:c r="H68" t="n">
        <x:v>10</x:v>
      </x:c>
      <x:c r="I68" s="16" t="n">
        <x:v>2000</x:v>
      </x:c>
      <x:c r="J68" s="16" t="str">
        <x:v>No-show</x:v>
      </x:c>
      <x:c r="K68" s="16" t="n">
        <x:f>H68*I68</x:f>
        <x:v>20000</x:v>
      </x:c>
      <x:c r="L68" s="16" t="n">
        <x:f>IF(J68="Completed",K68*0.80,0)</x:f>
        <x:v>0</x:v>
      </x:c>
      <x:c r="M68" s="18" t="str"/>
      <x:c r="N68" t="str">
        <x:v>No</x:v>
      </x:c>
      <x:c r="O68" t="str">
        <x:v>Customer Success</x:v>
      </x:c>
    </x:row>
    <x:row r="69">
      <x:c r="A69" t="str">
        <x:v>CRB5067</x:v>
      </x:c>
      <x:c r="B69" s="14" t="str">
        <x:v>2026-07-02</x:v>
      </x:c>
      <x:c r="C69" t="str">
        <x:v>Priya Sharma</x:v>
      </x:c>
      <x:c r="D69" t="str">
        <x:v>u1322</x:v>
      </x:c>
      <x:c r="E69" t="str">
        <x:v>Travel Blog</x:v>
      </x:c>
      <x:c r="F69" t="str">
        <x:v>Bangalore</x:v>
      </x:c>
      <x:c r="G69" t="str">
        <x:v>Blue Pottery</x:v>
      </x:c>
      <x:c r="H69" t="n">
        <x:v>4</x:v>
      </x:c>
      <x:c r="I69" s="16" t="n">
        <x:v>1800</x:v>
      </x:c>
      <x:c r="J69" s="16" t="str">
        <x:v>Cancelled</x:v>
      </x:c>
      <x:c r="K69" s="16" t="n">
        <x:f>H69*I69</x:f>
        <x:v>7200</x:v>
      </x:c>
      <x:c r="L69" s="16" t="n">
        <x:f>IF(J69="Completed",K69*0.80,0)</x:f>
        <x:v>0</x:v>
      </x:c>
      <x:c r="M69" s="18" t="str"/>
      <x:c r="N69" t="str">
        <x:v>Yes</x:v>
      </x:c>
      <x:c r="O69" t="str">
        <x:v>Revenue / Enterprise Team</x:v>
      </x:c>
    </x:row>
    <x:row r="70">
      <x:c r="A70" t="str">
        <x:v>CRB5068</x:v>
      </x:c>
      <x:c r="B70" s="14" t="str">
        <x:v>2026-07-02</x:v>
      </x:c>
      <x:c r="C70" t="str">
        <x:v>Priya Sharma</x:v>
      </x:c>
      <x:c r="D70" t="str">
        <x:v>u1323</x:v>
      </x:c>
      <x:c r="E70" t="str">
        <x:v>Travel Blog</x:v>
      </x:c>
      <x:c r="F70" t="str">
        <x:v>Bangalore</x:v>
      </x:c>
      <x:c r="G70" t="str">
        <x:v>Block Printing</x:v>
      </x:c>
      <x:c r="H70" t="n">
        <x:v>12</x:v>
      </x:c>
      <x:c r="I70" s="16" t="n">
        <x:v>2500</x:v>
      </x:c>
      <x:c r="J70" s="16" t="str">
        <x:v>Completed</x:v>
      </x:c>
      <x:c r="K70" s="16" t="n">
        <x:f>H70*I70</x:f>
        <x:v>30000</x:v>
      </x:c>
      <x:c r="L70" s="16" t="n">
        <x:f>IF(J70="Completed",K70*0.80,0)</x:f>
        <x:v>24000</x:v>
      </x:c>
      <x:c r="M70" s="18" t="n">
        <x:v>4.1</x:v>
      </x:c>
      <x:c r="N70" t="str">
        <x:v>No</x:v>
      </x:c>
      <x:c r="O70" t="str">
        <x:v>Customer Success</x:v>
      </x:c>
    </x:row>
    <x:row r="71">
      <x:c r="A71" t="str">
        <x:v>CRB5069</x:v>
      </x:c>
      <x:c r="B71" s="14" t="str">
        <x:v>2026-07-02</x:v>
      </x:c>
      <x:c r="C71" t="str">
        <x:v>Priya Sharma</x:v>
      </x:c>
      <x:c r="D71" t="str">
        <x:v>u1333</x:v>
      </x:c>
      <x:c r="E71" t="str">
        <x:v>Direct</x:v>
      </x:c>
      <x:c r="F71" t="str">
        <x:v>Udaipur</x:v>
      </x:c>
      <x:c r="G71" t="str">
        <x:v>Blue Pottery</x:v>
      </x:c>
      <x:c r="H71" t="n">
        <x:v>3</x:v>
      </x:c>
      <x:c r="I71" s="16" t="n">
        <x:v>2000</x:v>
      </x:c>
      <x:c r="J71" s="16" t="str">
        <x:v>Completed</x:v>
      </x:c>
      <x:c r="K71" s="16" t="n">
        <x:f>H71*I71</x:f>
        <x:v>6000</x:v>
      </x:c>
      <x:c r="L71" s="16" t="n">
        <x:f>IF(J71="Completed",K71*0.80,0)</x:f>
        <x:v>4800</x:v>
      </x:c>
      <x:c r="M71" s="18" t="n">
        <x:v>4.8</x:v>
      </x:c>
      <x:c r="N71" t="str">
        <x:v>No</x:v>
      </x:c>
      <x:c r="O71" t="str">
        <x:v>Traveler Success</x:v>
      </x:c>
    </x:row>
    <x:row r="72">
      <x:c r="A72" t="str">
        <x:v>CRB5070</x:v>
      </x:c>
      <x:c r="B72" s="14" t="str">
        <x:v>2026-07-02</x:v>
      </x:c>
      <x:c r="C72" t="str">
        <x:v>Sofia Martinez</x:v>
      </x:c>
      <x:c r="D72" t="str">
        <x:v>u1343</x:v>
      </x:c>
      <x:c r="E72" t="str">
        <x:v>Travel Blog</x:v>
      </x:c>
      <x:c r="F72" t="str">
        <x:v>Varanasi</x:v>
      </x:c>
      <x:c r="G72" t="str">
        <x:v>Pottery</x:v>
      </x:c>
      <x:c r="H72" t="n">
        <x:v>3</x:v>
      </x:c>
      <x:c r="I72" s="16" t="n">
        <x:v>2200</x:v>
      </x:c>
      <x:c r="J72" s="16" t="str">
        <x:v>Completed</x:v>
      </x:c>
      <x:c r="K72" s="16" t="n">
        <x:f>H72*I72</x:f>
        <x:v>6600</x:v>
      </x:c>
      <x:c r="L72" s="16" t="n">
        <x:f>IF(J72="Completed",K72*0.80,0)</x:f>
        <x:v>5280</x:v>
      </x:c>
      <x:c r="M72" s="18" t="n">
        <x:v>4.2</x:v>
      </x:c>
      <x:c r="N72" t="str">
        <x:v>No</x:v>
      </x:c>
      <x:c r="O72" t="str">
        <x:v>Customer Success</x:v>
      </x:c>
    </x:row>
    <x:row r="73">
      <x:c r="A73" t="str">
        <x:v>CRB5071</x:v>
      </x:c>
      <x:c r="B73" s="14" t="str">
        <x:v>2026-07-02</x:v>
      </x:c>
      <x:c r="C73" t="str">
        <x:v>Sofia Martinez</x:v>
      </x:c>
      <x:c r="D73" t="str">
        <x:v>u1352</x:v>
      </x:c>
      <x:c r="E73" t="str">
        <x:v>Google Search</x:v>
      </x:c>
      <x:c r="F73" t="str">
        <x:v>Jaipur</x:v>
      </x:c>
      <x:c r="G73" t="str">
        <x:v>Block Printing</x:v>
      </x:c>
      <x:c r="H73" t="n">
        <x:v>4</x:v>
      </x:c>
      <x:c r="I73" s="16" t="n">
        <x:v>3500</x:v>
      </x:c>
      <x:c r="J73" s="16" t="str">
        <x:v>Completed</x:v>
      </x:c>
      <x:c r="K73" s="16" t="n">
        <x:f>H73*I73</x:f>
        <x:v>14000</x:v>
      </x:c>
      <x:c r="L73" s="16" t="n">
        <x:f>IF(J73="Completed",K73*0.80,0)</x:f>
        <x:v>11200</x:v>
      </x:c>
      <x:c r="M73" s="18" t="n">
        <x:v>3.9</x:v>
      </x:c>
      <x:c r="N73" t="str">
        <x:v>No</x:v>
      </x:c>
      <x:c r="O73" t="str">
        <x:v>Revenue / Enterprise Team</x:v>
      </x:c>
    </x:row>
    <x:row r="74">
      <x:c r="A74" t="str">
        <x:v>CRB5072</x:v>
      </x:c>
      <x:c r="B74" s="14" t="str">
        <x:v>2026-07-02</x:v>
      </x:c>
      <x:c r="C74" t="str">
        <x:v>Mark Thompson</x:v>
      </x:c>
      <x:c r="D74" t="str">
        <x:v>u1357</x:v>
      </x:c>
      <x:c r="E74" t="str">
        <x:v>Google Search</x:v>
      </x:c>
      <x:c r="F74" t="str">
        <x:v>Khurja</x:v>
      </x:c>
      <x:c r="G74" t="str">
        <x:v>Warli Painting</x:v>
      </x:c>
      <x:c r="H74" t="n">
        <x:v>4</x:v>
      </x:c>
      <x:c r="I74" s="16" t="n">
        <x:v>2500</x:v>
      </x:c>
      <x:c r="J74" s="16" t="str">
        <x:v>Completed</x:v>
      </x:c>
      <x:c r="K74" s="16" t="n">
        <x:f>H74*I74</x:f>
        <x:v>10000</x:v>
      </x:c>
      <x:c r="L74" s="16" t="n">
        <x:f>IF(J74="Completed",K74*0.80,0)</x:f>
        <x:v>8000</x:v>
      </x:c>
      <x:c r="M74" s="18" t="n">
        <x:v>4.9</x:v>
      </x:c>
      <x:c r="N74" t="str">
        <x:v>Yes</x:v>
      </x:c>
      <x:c r="O74" t="str">
        <x:v>Traveler Success</x:v>
      </x:c>
    </x:row>
    <x:row r="75">
      <x:c r="A75" t="str">
        <x:v>CRB5073</x:v>
      </x:c>
      <x:c r="B75" s="14" t="str">
        <x:v>2026-07-02</x:v>
      </x:c>
      <x:c r="C75" t="str">
        <x:v>Ananya Reddy</x:v>
      </x:c>
      <x:c r="D75" t="str">
        <x:v>u1365</x:v>
      </x:c>
      <x:c r="E75" t="str">
        <x:v>Travel Blog</x:v>
      </x:c>
      <x:c r="F75" t="str">
        <x:v>Khurja</x:v>
      </x:c>
      <x:c r="G75" t="str">
        <x:v>Warli Painting</x:v>
      </x:c>
      <x:c r="H75" t="n">
        <x:v>3</x:v>
      </x:c>
      <x:c r="I75" s="16" t="n">
        <x:v>3000</x:v>
      </x:c>
      <x:c r="J75" s="16" t="str">
        <x:v>Completed</x:v>
      </x:c>
      <x:c r="K75" s="16" t="n">
        <x:f>H75*I75</x:f>
        <x:v>9000</x:v>
      </x:c>
      <x:c r="L75" s="16" t="n">
        <x:f>IF(J75="Completed",K75*0.80,0)</x:f>
        <x:v>7200</x:v>
      </x:c>
      <x:c r="M75" s="18" t="n">
        <x:v>4.3</x:v>
      </x:c>
      <x:c r="N75" t="str">
        <x:v>No</x:v>
      </x:c>
      <x:c r="O75" t="str">
        <x:v>Customer Success</x:v>
      </x:c>
    </x:row>
    <x:row r="76">
      <x:c r="A76" t="str">
        <x:v>CRB5074</x:v>
      </x:c>
      <x:c r="B76" s="14" t="str">
        <x:v>2026-07-02</x:v>
      </x:c>
      <x:c r="C76" t="str">
        <x:v>Rahul Mehta</x:v>
      </x:c>
      <x:c r="D76" t="str">
        <x:v>u1367</x:v>
      </x:c>
      <x:c r="E76" t="str">
        <x:v>Referral</x:v>
      </x:c>
      <x:c r="F76" t="str">
        <x:v>Varanasi</x:v>
      </x:c>
      <x:c r="G76" t="str">
        <x:v>Block Printing</x:v>
      </x:c>
      <x:c r="H76" t="n">
        <x:v>10</x:v>
      </x:c>
      <x:c r="I76" s="16" t="n">
        <x:v>1500</x:v>
      </x:c>
      <x:c r="J76" s="16" t="str">
        <x:v>Completed</x:v>
      </x:c>
      <x:c r="K76" s="16" t="n">
        <x:f>H76*I76</x:f>
        <x:v>15000</x:v>
      </x:c>
      <x:c r="L76" s="16" t="n">
        <x:f>IF(J76="Completed",K76*0.80,0)</x:f>
        <x:v>12000</x:v>
      </x:c>
      <x:c r="M76" s="18" t="n">
        <x:v>3.9</x:v>
      </x:c>
      <x:c r="N76" t="str">
        <x:v>No</x:v>
      </x:c>
      <x:c r="O76" t="str">
        <x:v>Customer Success</x:v>
      </x:c>
    </x:row>
    <x:row r="77">
      <x:c r="A77" t="str">
        <x:v>CRB5075</x:v>
      </x:c>
      <x:c r="B77" s="14" t="str">
        <x:v>2026-07-02</x:v>
      </x:c>
      <x:c r="C77" t="str">
        <x:v>Ananya Reddy</x:v>
      </x:c>
      <x:c r="D77" t="str">
        <x:v>u1370</x:v>
      </x:c>
      <x:c r="E77" t="str">
        <x:v>Google Search</x:v>
      </x:c>
      <x:c r="F77" t="str">
        <x:v>Varanasi</x:v>
      </x:c>
      <x:c r="G77" t="str">
        <x:v>Weaving</x:v>
      </x:c>
      <x:c r="H77" t="n">
        <x:v>4</x:v>
      </x:c>
      <x:c r="I77" s="16" t="n">
        <x:v>2200</x:v>
      </x:c>
      <x:c r="J77" s="16" t="str">
        <x:v>Completed</x:v>
      </x:c>
      <x:c r="K77" s="16" t="n">
        <x:f>H77*I77</x:f>
        <x:v>8800</x:v>
      </x:c>
      <x:c r="L77" s="16" t="n">
        <x:f>IF(J77="Completed",K77*0.80,0)</x:f>
        <x:v>7040</x:v>
      </x:c>
      <x:c r="M77" s="18" t="n">
        <x:v>4.2</x:v>
      </x:c>
      <x:c r="N77" t="str">
        <x:v>No</x:v>
      </x:c>
      <x:c r="O77" t="str">
        <x:v>Revenue / Enterprise Team</x:v>
      </x:c>
    </x:row>
    <x:row r="78">
      <x:c r="A78" t="str">
        <x:v>CRB5076</x:v>
      </x:c>
      <x:c r="B78" s="14" t="str">
        <x:v>2026-07-02</x:v>
      </x:c>
      <x:c r="C78" t="str">
        <x:v>Sofia Martinez</x:v>
      </x:c>
      <x:c r="D78" t="str">
        <x:v>u1384</x:v>
      </x:c>
      <x:c r="E78" t="str">
        <x:v>Direct</x:v>
      </x:c>
      <x:c r="F78" t="str">
        <x:v>Bangalore</x:v>
      </x:c>
      <x:c r="G78" t="str">
        <x:v>Block Printing</x:v>
      </x:c>
      <x:c r="H78" t="n">
        <x:v>2</x:v>
      </x:c>
      <x:c r="I78" s="16" t="n">
        <x:v>3000</x:v>
      </x:c>
      <x:c r="J78" s="16" t="str">
        <x:v>Completed</x:v>
      </x:c>
      <x:c r="K78" s="16" t="n">
        <x:f>H78*I78</x:f>
        <x:v>6000</x:v>
      </x:c>
      <x:c r="L78" s="16" t="n">
        <x:f>IF(J78="Completed",K78*0.80,0)</x:f>
        <x:v>4800</x:v>
      </x:c>
      <x:c r="M78" s="18" t="n">
        <x:v>4.6</x:v>
      </x:c>
      <x:c r="N78" t="str">
        <x:v>No</x:v>
      </x:c>
      <x:c r="O78" t="str">
        <x:v>Customer Success</x:v>
      </x:c>
    </x:row>
    <x:row r="79">
      <x:c r="A79" t="str">
        <x:v>CRB5077</x:v>
      </x:c>
      <x:c r="B79" s="14" t="str">
        <x:v>2026-07-02</x:v>
      </x:c>
      <x:c r="C79" t="str">
        <x:v>Priya Sharma</x:v>
      </x:c>
      <x:c r="D79" t="str">
        <x:v>u1386</x:v>
      </x:c>
      <x:c r="E79" t="str">
        <x:v>Direct</x:v>
      </x:c>
      <x:c r="F79" t="str">
        <x:v>Bangalore</x:v>
      </x:c>
      <x:c r="G79" t="str">
        <x:v>Warli Painting</x:v>
      </x:c>
      <x:c r="H79" t="n">
        <x:v>12</x:v>
      </x:c>
      <x:c r="I79" s="16" t="n">
        <x:v>3500</x:v>
      </x:c>
      <x:c r="J79" s="16" t="str">
        <x:v>Completed</x:v>
      </x:c>
      <x:c r="K79" s="16" t="n">
        <x:f>H79*I79</x:f>
        <x:v>42000</x:v>
      </x:c>
      <x:c r="L79" s="16" t="n">
        <x:f>IF(J79="Completed",K79*0.80,0)</x:f>
        <x:v>33600</x:v>
      </x:c>
      <x:c r="M79" s="18" t="n">
        <x:v>4</x:v>
      </x:c>
      <x:c r="N79" t="str">
        <x:v>No</x:v>
      </x:c>
      <x:c r="O79" t="str">
        <x:v>Traveler Success</x:v>
      </x:c>
    </x:row>
    <x:row r="80">
      <x:c r="A80" t="str">
        <x:v>CRB5078</x:v>
      </x:c>
      <x:c r="B80" s="14" t="str">
        <x:v>2026-07-02</x:v>
      </x:c>
      <x:c r="C80" t="str">
        <x:v>Sofia Martinez</x:v>
      </x:c>
      <x:c r="D80" t="str">
        <x:v>u1392</x:v>
      </x:c>
      <x:c r="E80" t="str">
        <x:v>Google Search</x:v>
      </x:c>
      <x:c r="F80" t="str">
        <x:v>Khurja</x:v>
      </x:c>
      <x:c r="G80" t="str">
        <x:v>Warli Painting</x:v>
      </x:c>
      <x:c r="H80" t="n">
        <x:v>12</x:v>
      </x:c>
      <x:c r="I80" s="16" t="n">
        <x:v>1800</x:v>
      </x:c>
      <x:c r="J80" s="16" t="str">
        <x:v>Completed</x:v>
      </x:c>
      <x:c r="K80" s="16" t="n">
        <x:f>H80*I80</x:f>
        <x:v>21600</x:v>
      </x:c>
      <x:c r="L80" s="16" t="n">
        <x:f>IF(J80="Completed",K80*0.80,0)</x:f>
        <x:v>17280</x:v>
      </x:c>
      <x:c r="M80" s="18" t="n">
        <x:v>4</x:v>
      </x:c>
      <x:c r="N80" t="str">
        <x:v>No</x:v>
      </x:c>
      <x:c r="O80" t="str">
        <x:v>Traveler Success</x:v>
      </x:c>
    </x:row>
    <x:row r="81">
      <x:c r="A81" t="str">
        <x:v>CRB5079</x:v>
      </x:c>
      <x:c r="B81" s="14" t="str">
        <x:v>2026-07-03</x:v>
      </x:c>
      <x:c r="C81" t="str">
        <x:v>Sofia Martinez</x:v>
      </x:c>
      <x:c r="D81" t="str">
        <x:v>u1399</x:v>
      </x:c>
      <x:c r="E81" t="str">
        <x:v>Referral</x:v>
      </x:c>
      <x:c r="F81" t="str">
        <x:v>Bangalore</x:v>
      </x:c>
      <x:c r="G81" t="str">
        <x:v>Warli Painting</x:v>
      </x:c>
      <x:c r="H81" t="n">
        <x:v>4</x:v>
      </x:c>
      <x:c r="I81" s="16" t="n">
        <x:v>1500</x:v>
      </x:c>
      <x:c r="J81" s="16" t="str">
        <x:v>Completed</x:v>
      </x:c>
      <x:c r="K81" s="16" t="n">
        <x:f>H81*I81</x:f>
        <x:v>6000</x:v>
      </x:c>
      <x:c r="L81" s="16" t="n">
        <x:f>IF(J81="Completed",K81*0.80,0)</x:f>
        <x:v>4800</x:v>
      </x:c>
      <x:c r="M81" s="18" t="n">
        <x:v>4.4</x:v>
      </x:c>
      <x:c r="N81" t="str">
        <x:v>No</x:v>
      </x:c>
      <x:c r="O81" t="str">
        <x:v>Revenue / Enterprise Team</x:v>
      </x:c>
    </x:row>
    <x:row r="82">
      <x:c r="A82" t="str">
        <x:v>CRB5080</x:v>
      </x:c>
      <x:c r="B82" s="14" t="str">
        <x:v>2026-07-03</x:v>
      </x:c>
      <x:c r="C82" t="str">
        <x:v>Ananya Reddy</x:v>
      </x:c>
      <x:c r="D82" t="str">
        <x:v>u1401</x:v>
      </x:c>
      <x:c r="E82" t="str">
        <x:v>Google Search</x:v>
      </x:c>
      <x:c r="F82" t="str">
        <x:v>Bangalore</x:v>
      </x:c>
      <x:c r="G82" t="str">
        <x:v>Pottery</x:v>
      </x:c>
      <x:c r="H82" t="n">
        <x:v>12</x:v>
      </x:c>
      <x:c r="I82" s="16" t="n">
        <x:v>2500</x:v>
      </x:c>
      <x:c r="J82" s="16" t="str">
        <x:v>Completed</x:v>
      </x:c>
      <x:c r="K82" s="16" t="n">
        <x:f>H82*I82</x:f>
        <x:v>30000</x:v>
      </x:c>
      <x:c r="L82" s="16" t="n">
        <x:f>IF(J82="Completed",K82*0.80,0)</x:f>
        <x:v>24000</x:v>
      </x:c>
      <x:c r="M82" s="18" t="n">
        <x:v>3.8</x:v>
      </x:c>
      <x:c r="N82" t="str">
        <x:v>No</x:v>
      </x:c>
      <x:c r="O82" t="str">
        <x:v>Customer Success</x:v>
      </x:c>
    </x:row>
    <x:row r="83">
      <x:c r="A83" t="str">
        <x:v>CRB5081</x:v>
      </x:c>
      <x:c r="B83" s="14" t="str">
        <x:v>2026-07-03</x:v>
      </x:c>
      <x:c r="C83" t="str">
        <x:v>Rahul Mehta</x:v>
      </x:c>
      <x:c r="D83" t="str">
        <x:v>u1405</x:v>
      </x:c>
      <x:c r="E83" t="str">
        <x:v>Travel Blog</x:v>
      </x:c>
      <x:c r="F83" t="str">
        <x:v>Bangalore</x:v>
      </x:c>
      <x:c r="G83" t="str">
        <x:v>Blue Pottery</x:v>
      </x:c>
      <x:c r="H83" t="n">
        <x:v>6</x:v>
      </x:c>
      <x:c r="I83" s="16" t="n">
        <x:v>2500</x:v>
      </x:c>
      <x:c r="J83" s="16" t="str">
        <x:v>Completed</x:v>
      </x:c>
      <x:c r="K83" s="16" t="n">
        <x:f>H83*I83</x:f>
        <x:v>15000</x:v>
      </x:c>
      <x:c r="L83" s="16" t="n">
        <x:f>IF(J83="Completed",K83*0.80,0)</x:f>
        <x:v>12000</x:v>
      </x:c>
      <x:c r="M83" s="18" t="n">
        <x:v>4.7</x:v>
      </x:c>
      <x:c r="N83" t="str">
        <x:v>No</x:v>
      </x:c>
      <x:c r="O83" t="str">
        <x:v>Customer Success</x:v>
      </x:c>
    </x:row>
    <x:row r="84">
      <x:c r="A84" t="str">
        <x:v>CRB5082</x:v>
      </x:c>
      <x:c r="B84" s="14" t="str">
        <x:v>2026-07-03</x:v>
      </x:c>
      <x:c r="C84" t="str">
        <x:v>Ananya Reddy</x:v>
      </x:c>
      <x:c r="D84" t="str">
        <x:v>u1406</x:v>
      </x:c>
      <x:c r="E84" t="str">
        <x:v>Instagram</x:v>
      </x:c>
      <x:c r="F84" t="str">
        <x:v>Khurja</x:v>
      </x:c>
      <x:c r="G84" t="str">
        <x:v>Weaving</x:v>
      </x:c>
      <x:c r="H84" t="n">
        <x:v>2</x:v>
      </x:c>
      <x:c r="I84" s="16" t="n">
        <x:v>2200</x:v>
      </x:c>
      <x:c r="J84" s="16" t="str">
        <x:v>Completed</x:v>
      </x:c>
      <x:c r="K84" s="16" t="n">
        <x:f>H84*I84</x:f>
        <x:v>4400</x:v>
      </x:c>
      <x:c r="L84" s="16" t="n">
        <x:f>IF(J84="Completed",K84*0.80,0)</x:f>
        <x:v>3520</x:v>
      </x:c>
      <x:c r="M84" s="18" t="n">
        <x:v>4.8</x:v>
      </x:c>
      <x:c r="N84" t="str">
        <x:v>No</x:v>
      </x:c>
      <x:c r="O84" t="str">
        <x:v>Revenue / Enterprise Team</x:v>
      </x:c>
    </x:row>
    <x:row r="85">
      <x:c r="A85" t="str">
        <x:v>CRB5083</x:v>
      </x:c>
      <x:c r="B85" s="14" t="str">
        <x:v>2026-07-03</x:v>
      </x:c>
      <x:c r="C85" t="str">
        <x:v>Ananya Reddy</x:v>
      </x:c>
      <x:c r="D85" t="str">
        <x:v>u1421</x:v>
      </x:c>
      <x:c r="E85" t="str">
        <x:v>Travel Blog</x:v>
      </x:c>
      <x:c r="F85" t="str">
        <x:v>Jaipur</x:v>
      </x:c>
      <x:c r="G85" t="str">
        <x:v>Block Printing</x:v>
      </x:c>
      <x:c r="H85" t="n">
        <x:v>10</x:v>
      </x:c>
      <x:c r="I85" s="16" t="n">
        <x:v>1800</x:v>
      </x:c>
      <x:c r="J85" s="16" t="str">
        <x:v>No-show</x:v>
      </x:c>
      <x:c r="K85" s="16" t="n">
        <x:f>H85*I85</x:f>
        <x:v>18000</x:v>
      </x:c>
      <x:c r="L85" s="16" t="n">
        <x:f>IF(J85="Completed",K85*0.80,0)</x:f>
        <x:v>0</x:v>
      </x:c>
      <x:c r="M85" s="18" t="str"/>
      <x:c r="N85" t="str">
        <x:v>No</x:v>
      </x:c>
      <x:c r="O85" t="str">
        <x:v>Traveler Success</x:v>
      </x:c>
    </x:row>
    <x:row r="86">
      <x:c r="A86" t="str">
        <x:v>CRB5084</x:v>
      </x:c>
      <x:c r="B86" s="14" t="str">
        <x:v>2026-07-03</x:v>
      </x:c>
      <x:c r="C86" t="str">
        <x:v>Mark Thompson</x:v>
      </x:c>
      <x:c r="D86" t="str">
        <x:v>u1424</x:v>
      </x:c>
      <x:c r="E86" t="str">
        <x:v>Google Search</x:v>
      </x:c>
      <x:c r="F86" t="str">
        <x:v>Udaipur</x:v>
      </x:c>
      <x:c r="G86" t="str">
        <x:v>Block Printing</x:v>
      </x:c>
      <x:c r="H86" t="n">
        <x:v>2</x:v>
      </x:c>
      <x:c r="I86" s="16" t="n">
        <x:v>2500</x:v>
      </x:c>
      <x:c r="J86" s="16" t="str">
        <x:v>Completed</x:v>
      </x:c>
      <x:c r="K86" s="16" t="n">
        <x:f>H86*I86</x:f>
        <x:v>5000</x:v>
      </x:c>
      <x:c r="L86" s="16" t="n">
        <x:f>IF(J86="Completed",K86*0.80,0)</x:f>
        <x:v>4000</x:v>
      </x:c>
      <x:c r="M86" s="18" t="n">
        <x:v>3.8</x:v>
      </x:c>
      <x:c r="N86" t="str">
        <x:v>Yes</x:v>
      </x:c>
      <x:c r="O86" t="str">
        <x:v>Customer Success</x:v>
      </x:c>
    </x:row>
    <x:row r="87">
      <x:c r="A87" t="str">
        <x:v>CRB5085</x:v>
      </x:c>
      <x:c r="B87" s="14" t="str">
        <x:v>2026-07-03</x:v>
      </x:c>
      <x:c r="C87" t="str">
        <x:v>Sofia Martinez</x:v>
      </x:c>
      <x:c r="D87" t="str">
        <x:v>u1427</x:v>
      </x:c>
      <x:c r="E87" t="str">
        <x:v>Google Search</x:v>
      </x:c>
      <x:c r="F87" t="str">
        <x:v>Khurja</x:v>
      </x:c>
      <x:c r="G87" t="str">
        <x:v>Block Printing</x:v>
      </x:c>
      <x:c r="H87" t="n">
        <x:v>12</x:v>
      </x:c>
      <x:c r="I87" s="16" t="n">
        <x:v>2000</x:v>
      </x:c>
      <x:c r="J87" s="16" t="str">
        <x:v>Completed</x:v>
      </x:c>
      <x:c r="K87" s="16" t="n">
        <x:f>H87*I87</x:f>
        <x:v>24000</x:v>
      </x:c>
      <x:c r="L87" s="16" t="n">
        <x:f>IF(J87="Completed",K87*0.80,0)</x:f>
        <x:v>19200</x:v>
      </x:c>
      <x:c r="M87" s="18" t="n">
        <x:v>4</x:v>
      </x:c>
      <x:c r="N87" t="str">
        <x:v>No</x:v>
      </x:c>
      <x:c r="O87" t="str">
        <x:v>Traveler Success</x:v>
      </x:c>
    </x:row>
    <x:row r="88">
      <x:c r="A88" t="str">
        <x:v>CRB5086</x:v>
      </x:c>
      <x:c r="B88" s="14" t="str">
        <x:v>2026-07-03</x:v>
      </x:c>
      <x:c r="C88" t="str">
        <x:v>Priya Sharma</x:v>
      </x:c>
      <x:c r="D88" t="str">
        <x:v>u1429</x:v>
      </x:c>
      <x:c r="E88" t="str">
        <x:v>Travel Blog</x:v>
      </x:c>
      <x:c r="F88" t="str">
        <x:v>Varanasi</x:v>
      </x:c>
      <x:c r="G88" t="str">
        <x:v>Blue Pottery</x:v>
      </x:c>
      <x:c r="H88" t="n">
        <x:v>2</x:v>
      </x:c>
      <x:c r="I88" s="16" t="n">
        <x:v>1800</x:v>
      </x:c>
      <x:c r="J88" s="16" t="str">
        <x:v>Completed</x:v>
      </x:c>
      <x:c r="K88" s="16" t="n">
        <x:f>H88*I88</x:f>
        <x:v>3600</x:v>
      </x:c>
      <x:c r="L88" s="16" t="n">
        <x:f>IF(J88="Completed",K88*0.80,0)</x:f>
        <x:v>2880</x:v>
      </x:c>
      <x:c r="M88" s="18" t="n">
        <x:v>4.5</x:v>
      </x:c>
      <x:c r="N88" t="str">
        <x:v>No</x:v>
      </x:c>
      <x:c r="O88" t="str">
        <x:v>Traveler Success</x:v>
      </x:c>
    </x:row>
    <x:row r="89">
      <x:c r="A89" t="str">
        <x:v>CRB5087</x:v>
      </x:c>
      <x:c r="B89" s="14" t="str">
        <x:v>2026-07-03</x:v>
      </x:c>
      <x:c r="C89" t="str">
        <x:v>Mark Thompson</x:v>
      </x:c>
      <x:c r="D89" t="str">
        <x:v>u1431</x:v>
      </x:c>
      <x:c r="E89" t="str">
        <x:v>Instagram</x:v>
      </x:c>
      <x:c r="F89" t="str">
        <x:v>Khurja</x:v>
      </x:c>
      <x:c r="G89" t="str">
        <x:v>Blue Pottery</x:v>
      </x:c>
      <x:c r="H89" t="n">
        <x:v>2</x:v>
      </x:c>
      <x:c r="I89" s="16" t="n">
        <x:v>2500</x:v>
      </x:c>
      <x:c r="J89" s="16" t="str">
        <x:v>Completed</x:v>
      </x:c>
      <x:c r="K89" s="16" t="n">
        <x:f>H89*I89</x:f>
        <x:v>5000</x:v>
      </x:c>
      <x:c r="L89" s="16" t="n">
        <x:f>IF(J89="Completed",K89*0.80,0)</x:f>
        <x:v>4000</x:v>
      </x:c>
      <x:c r="M89" s="18" t="n">
        <x:v>4.2</x:v>
      </x:c>
      <x:c r="N89" t="str">
        <x:v>No</x:v>
      </x:c>
      <x:c r="O89" t="str">
        <x:v>Customer Success</x:v>
      </x:c>
    </x:row>
    <x:row r="90">
      <x:c r="A90" t="str">
        <x:v>CRB5088</x:v>
      </x:c>
      <x:c r="B90" s="14" t="str">
        <x:v>2026-07-03</x:v>
      </x:c>
      <x:c r="C90" t="str">
        <x:v>Priya Sharma</x:v>
      </x:c>
      <x:c r="D90" t="str">
        <x:v>u1432</x:v>
      </x:c>
      <x:c r="E90" t="str">
        <x:v>Direct</x:v>
      </x:c>
      <x:c r="F90" t="str">
        <x:v>Udaipur</x:v>
      </x:c>
      <x:c r="G90" t="str">
        <x:v>Weaving</x:v>
      </x:c>
      <x:c r="H90" t="n">
        <x:v>2</x:v>
      </x:c>
      <x:c r="I90" s="16" t="n">
        <x:v>1500</x:v>
      </x:c>
      <x:c r="J90" s="16" t="str">
        <x:v>Completed</x:v>
      </x:c>
      <x:c r="K90" s="16" t="n">
        <x:f>H90*I90</x:f>
        <x:v>3000</x:v>
      </x:c>
      <x:c r="L90" s="16" t="n">
        <x:f>IF(J90="Completed",K90*0.80,0)</x:f>
        <x:v>2400</x:v>
      </x:c>
      <x:c r="M90" s="18" t="n">
        <x:v>4.1</x:v>
      </x:c>
      <x:c r="N90" t="str">
        <x:v>No</x:v>
      </x:c>
      <x:c r="O90" t="str">
        <x:v>Revenue / Enterprise Team</x:v>
      </x:c>
    </x:row>
    <x:row r="91">
      <x:c r="A91" t="str">
        <x:v>CRB5089</x:v>
      </x:c>
      <x:c r="B91" s="14" t="str">
        <x:v>2026-07-03</x:v>
      </x:c>
      <x:c r="C91" t="str">
        <x:v>Priya Sharma</x:v>
      </x:c>
      <x:c r="D91" t="str">
        <x:v>u1434</x:v>
      </x:c>
      <x:c r="E91" t="str">
        <x:v>Direct</x:v>
      </x:c>
      <x:c r="F91" t="str">
        <x:v>Bangalore</x:v>
      </x:c>
      <x:c r="G91" t="str">
        <x:v>Warli Painting</x:v>
      </x:c>
      <x:c r="H91" t="n">
        <x:v>3</x:v>
      </x:c>
      <x:c r="I91" s="16" t="n">
        <x:v>3500</x:v>
      </x:c>
      <x:c r="J91" s="16" t="str">
        <x:v>Completed</x:v>
      </x:c>
      <x:c r="K91" s="16" t="n">
        <x:f>H91*I91</x:f>
        <x:v>10500</x:v>
      </x:c>
      <x:c r="L91" s="16" t="n">
        <x:f>IF(J91="Completed",K91*0.80,0)</x:f>
        <x:v>8400</x:v>
      </x:c>
      <x:c r="M91" s="18" t="n">
        <x:v>4.5</x:v>
      </x:c>
      <x:c r="N91" t="str">
        <x:v>No</x:v>
      </x:c>
      <x:c r="O91" t="str">
        <x:v>Revenue / Enterprise Team</x:v>
      </x:c>
    </x:row>
    <x:row r="92">
      <x:c r="A92" t="str">
        <x:v>CRB5090</x:v>
      </x:c>
      <x:c r="B92" s="14" t="str">
        <x:v>2026-07-03</x:v>
      </x:c>
      <x:c r="C92" t="str">
        <x:v>Priya Sharma</x:v>
      </x:c>
      <x:c r="D92" t="str">
        <x:v>u1443</x:v>
      </x:c>
      <x:c r="E92" t="str">
        <x:v>Google Search</x:v>
      </x:c>
      <x:c r="F92" t="str">
        <x:v>Varanasi</x:v>
      </x:c>
      <x:c r="G92" t="str">
        <x:v>Pottery</x:v>
      </x:c>
      <x:c r="H92" t="n">
        <x:v>2</x:v>
      </x:c>
      <x:c r="I92" s="16" t="n">
        <x:v>1800</x:v>
      </x:c>
      <x:c r="J92" s="16" t="str">
        <x:v>Completed</x:v>
      </x:c>
      <x:c r="K92" s="16" t="n">
        <x:f>H92*I92</x:f>
        <x:v>3600</x:v>
      </x:c>
      <x:c r="L92" s="16" t="n">
        <x:f>IF(J92="Completed",K92*0.80,0)</x:f>
        <x:v>2880</x:v>
      </x:c>
      <x:c r="M92" s="18" t="n">
        <x:v>4.8</x:v>
      </x:c>
      <x:c r="N92" t="str">
        <x:v>No</x:v>
      </x:c>
      <x:c r="O92" t="str">
        <x:v>Traveler Success</x:v>
      </x:c>
    </x:row>
    <x:row r="93">
      <x:c r="A93" t="str">
        <x:v>CRB5091</x:v>
      </x:c>
      <x:c r="B93" s="14" t="str">
        <x:v>2026-07-03</x:v>
      </x:c>
      <x:c r="C93" t="str">
        <x:v>Sofia Martinez</x:v>
      </x:c>
      <x:c r="D93" t="str">
        <x:v>u1446</x:v>
      </x:c>
      <x:c r="E93" t="str">
        <x:v>Referral</x:v>
      </x:c>
      <x:c r="F93" t="str">
        <x:v>Varanasi</x:v>
      </x:c>
      <x:c r="G93" t="str">
        <x:v>Block Printing</x:v>
      </x:c>
      <x:c r="H93" t="n">
        <x:v>1</x:v>
      </x:c>
      <x:c r="I93" s="16" t="n">
        <x:v>1800</x:v>
      </x:c>
      <x:c r="J93" s="16" t="str">
        <x:v>Completed</x:v>
      </x:c>
      <x:c r="K93" s="16" t="n">
        <x:f>H93*I93</x:f>
        <x:v>1800</x:v>
      </x:c>
      <x:c r="L93" s="16" t="n">
        <x:f>IF(J93="Completed",K93*0.80,0)</x:f>
        <x:v>1440</x:v>
      </x:c>
      <x:c r="M93" s="18" t="n">
        <x:v>3.9</x:v>
      </x:c>
      <x:c r="N93" t="str">
        <x:v>Yes</x:v>
      </x:c>
      <x:c r="O93" t="str">
        <x:v>Customer Success</x:v>
      </x:c>
    </x:row>
    <x:row r="94">
      <x:c r="A94" t="str">
        <x:v>CRB5092</x:v>
      </x:c>
      <x:c r="B94" s="14" t="str">
        <x:v>2026-07-03</x:v>
      </x:c>
      <x:c r="C94" t="str">
        <x:v>Rahul Mehta</x:v>
      </x:c>
      <x:c r="D94" t="str">
        <x:v>u1453</x:v>
      </x:c>
      <x:c r="E94" t="str">
        <x:v>Referral</x:v>
      </x:c>
      <x:c r="F94" t="str">
        <x:v>Jaipur</x:v>
      </x:c>
      <x:c r="G94" t="str">
        <x:v>Pottery</x:v>
      </x:c>
      <x:c r="H94" t="n">
        <x:v>1</x:v>
      </x:c>
      <x:c r="I94" s="16" t="n">
        <x:v>1800</x:v>
      </x:c>
      <x:c r="J94" s="16" t="str">
        <x:v>Completed</x:v>
      </x:c>
      <x:c r="K94" s="16" t="n">
        <x:f>H94*I94</x:f>
        <x:v>1800</x:v>
      </x:c>
      <x:c r="L94" s="16" t="n">
        <x:f>IF(J94="Completed",K94*0.80,0)</x:f>
        <x:v>1440</x:v>
      </x:c>
      <x:c r="M94" s="18" t="n">
        <x:v>4.9</x:v>
      </x:c>
      <x:c r="N94" t="str">
        <x:v>No</x:v>
      </x:c>
      <x:c r="O94" t="str">
        <x:v>Revenue / Enterprise Team</x:v>
      </x:c>
    </x:row>
    <x:row r="95">
      <x:c r="A95" t="str">
        <x:v>CRB5093</x:v>
      </x:c>
      <x:c r="B95" s="14" t="str">
        <x:v>2026-07-03</x:v>
      </x:c>
      <x:c r="C95" t="str">
        <x:v>Mark Thompson</x:v>
      </x:c>
      <x:c r="D95" t="str">
        <x:v>u1458</x:v>
      </x:c>
      <x:c r="E95" t="str">
        <x:v>Google Search</x:v>
      </x:c>
      <x:c r="F95" t="str">
        <x:v>Bangalore</x:v>
      </x:c>
      <x:c r="G95" t="str">
        <x:v>Block Printing</x:v>
      </x:c>
      <x:c r="H95" t="n">
        <x:v>10</x:v>
      </x:c>
      <x:c r="I95" s="16" t="n">
        <x:v>1500</x:v>
      </x:c>
      <x:c r="J95" s="16" t="str">
        <x:v>Completed</x:v>
      </x:c>
      <x:c r="K95" s="16" t="n">
        <x:f>H95*I95</x:f>
        <x:v>15000</x:v>
      </x:c>
      <x:c r="L95" s="16" t="n">
        <x:f>IF(J95="Completed",K95*0.80,0)</x:f>
        <x:v>12000</x:v>
      </x:c>
      <x:c r="M95" s="18" t="n">
        <x:v>4</x:v>
      </x:c>
      <x:c r="N95" t="str">
        <x:v>No</x:v>
      </x:c>
      <x:c r="O95" t="str">
        <x:v>Customer Success</x:v>
      </x:c>
    </x:row>
    <x:row r="96">
      <x:c r="A96" t="str">
        <x:v>CRB5094</x:v>
      </x:c>
      <x:c r="B96" s="14" t="str">
        <x:v>2026-07-03</x:v>
      </x:c>
      <x:c r="C96" t="str">
        <x:v>Sofia Martinez</x:v>
      </x:c>
      <x:c r="D96" t="str">
        <x:v>u1461</x:v>
      </x:c>
      <x:c r="E96" t="str">
        <x:v>Instagram</x:v>
      </x:c>
      <x:c r="F96" t="str">
        <x:v>Khurja</x:v>
      </x:c>
      <x:c r="G96" t="str">
        <x:v>Weaving</x:v>
      </x:c>
      <x:c r="H96" t="n">
        <x:v>2</x:v>
      </x:c>
      <x:c r="I96" s="16" t="n">
        <x:v>1500</x:v>
      </x:c>
      <x:c r="J96" s="16" t="str">
        <x:v>No-show</x:v>
      </x:c>
      <x:c r="K96" s="16" t="n">
        <x:f>H96*I96</x:f>
        <x:v>3000</x:v>
      </x:c>
      <x:c r="L96" s="16" t="n">
        <x:f>IF(J96="Completed",K96*0.80,0)</x:f>
        <x:v>0</x:v>
      </x:c>
      <x:c r="M96" s="18" t="str"/>
      <x:c r="N96" t="str">
        <x:v>No</x:v>
      </x:c>
      <x:c r="O96" t="str">
        <x:v>Traveler Success</x:v>
      </x:c>
    </x:row>
    <x:row r="97">
      <x:c r="A97" t="str">
        <x:v>CRB5095</x:v>
      </x:c>
      <x:c r="B97" s="14" t="str">
        <x:v>2026-07-03</x:v>
      </x:c>
      <x:c r="C97" t="str">
        <x:v>Rahul Mehta</x:v>
      </x:c>
      <x:c r="D97" t="str">
        <x:v>u1468</x:v>
      </x:c>
      <x:c r="E97" t="str">
        <x:v>Travel Blog</x:v>
      </x:c>
      <x:c r="F97" t="str">
        <x:v>Jaipur</x:v>
      </x:c>
      <x:c r="G97" t="str">
        <x:v>Blue Pottery</x:v>
      </x:c>
      <x:c r="H97" t="n">
        <x:v>2</x:v>
      </x:c>
      <x:c r="I97" s="16" t="n">
        <x:v>2000</x:v>
      </x:c>
      <x:c r="J97" s="16" t="str">
        <x:v>Completed</x:v>
      </x:c>
      <x:c r="K97" s="16" t="n">
        <x:f>H97*I97</x:f>
        <x:v>4000</x:v>
      </x:c>
      <x:c r="L97" s="16" t="n">
        <x:f>IF(J97="Completed",K97*0.80,0)</x:f>
        <x:v>3200</x:v>
      </x:c>
      <x:c r="M97" s="18" t="n">
        <x:v>3.8</x:v>
      </x:c>
      <x:c r="N97" t="str">
        <x:v>No</x:v>
      </x:c>
      <x:c r="O97" t="str">
        <x:v>Revenue / Enterprise Team</x:v>
      </x:c>
    </x:row>
    <x:row r="98">
      <x:c r="A98" t="str">
        <x:v>CRB5096</x:v>
      </x:c>
      <x:c r="B98" s="14" t="str">
        <x:v>2026-07-03</x:v>
      </x:c>
      <x:c r="C98" t="str">
        <x:v>Sofia Martinez</x:v>
      </x:c>
      <x:c r="D98" t="str">
        <x:v>u1473</x:v>
      </x:c>
      <x:c r="E98" t="str">
        <x:v>Direct</x:v>
      </x:c>
      <x:c r="F98" t="str">
        <x:v>Bangalore</x:v>
      </x:c>
      <x:c r="G98" t="str">
        <x:v>Weaving</x:v>
      </x:c>
      <x:c r="H98" t="n">
        <x:v>3</x:v>
      </x:c>
      <x:c r="I98" s="16" t="n">
        <x:v>1500</x:v>
      </x:c>
      <x:c r="J98" s="16" t="str">
        <x:v>Completed</x:v>
      </x:c>
      <x:c r="K98" s="16" t="n">
        <x:f>H98*I98</x:f>
        <x:v>4500</x:v>
      </x:c>
      <x:c r="L98" s="16" t="n">
        <x:f>IF(J98="Completed",K98*0.80,0)</x:f>
        <x:v>3600</x:v>
      </x:c>
      <x:c r="M98" s="18" t="n">
        <x:v>3.9</x:v>
      </x:c>
      <x:c r="N98" t="str">
        <x:v>No</x:v>
      </x:c>
      <x:c r="O98" t="str">
        <x:v>Revenue / Enterprise Team</x:v>
      </x:c>
    </x:row>
    <x:row r="99">
      <x:c r="A99" t="str">
        <x:v>CRB5097</x:v>
      </x:c>
      <x:c r="B99" s="14" t="str">
        <x:v>2026-07-03</x:v>
      </x:c>
      <x:c r="C99" t="str">
        <x:v>Ananya Reddy</x:v>
      </x:c>
      <x:c r="D99" t="str">
        <x:v>u1474</x:v>
      </x:c>
      <x:c r="E99" t="str">
        <x:v>Google Search</x:v>
      </x:c>
      <x:c r="F99" t="str">
        <x:v>Khurja</x:v>
      </x:c>
      <x:c r="G99" t="str">
        <x:v>Block Printing</x:v>
      </x:c>
      <x:c r="H99" t="n">
        <x:v>1</x:v>
      </x:c>
      <x:c r="I99" s="16" t="n">
        <x:v>3500</x:v>
      </x:c>
      <x:c r="J99" s="16" t="str">
        <x:v>No-show</x:v>
      </x:c>
      <x:c r="K99" s="16" t="n">
        <x:f>H99*I99</x:f>
        <x:v>3500</x:v>
      </x:c>
      <x:c r="L99" s="16" t="n">
        <x:f>IF(J99="Completed",K99*0.80,0)</x:f>
        <x:v>0</x:v>
      </x:c>
      <x:c r="M99" s="18" t="str"/>
      <x:c r="N99" t="str">
        <x:v>No</x:v>
      </x:c>
      <x:c r="O99" t="str">
        <x:v>Customer Success</x:v>
      </x:c>
    </x:row>
    <x:row r="100">
      <x:c r="A100" t="str">
        <x:v>CRB5098</x:v>
      </x:c>
      <x:c r="B100" s="14" t="str">
        <x:v>2026-07-03</x:v>
      </x:c>
      <x:c r="C100" t="str">
        <x:v>Ananya Reddy</x:v>
      </x:c>
      <x:c r="D100" t="str">
        <x:v>u1478</x:v>
      </x:c>
      <x:c r="E100" t="str">
        <x:v>Travel Blog</x:v>
      </x:c>
      <x:c r="F100" t="str">
        <x:v>Bangalore</x:v>
      </x:c>
      <x:c r="G100" t="str">
        <x:v>Weaving</x:v>
      </x:c>
      <x:c r="H100" t="n">
        <x:v>3</x:v>
      </x:c>
      <x:c r="I100" s="16" t="n">
        <x:v>1500</x:v>
      </x:c>
      <x:c r="J100" s="16" t="str">
        <x:v>Completed</x:v>
      </x:c>
      <x:c r="K100" s="16" t="n">
        <x:f>H100*I100</x:f>
        <x:v>4500</x:v>
      </x:c>
      <x:c r="L100" s="16" t="n">
        <x:f>IF(J100="Completed",K100*0.80,0)</x:f>
        <x:v>3600</x:v>
      </x:c>
      <x:c r="M100" s="18" t="n">
        <x:v>4.9</x:v>
      </x:c>
      <x:c r="N100" t="str">
        <x:v>No</x:v>
      </x:c>
      <x:c r="O100" t="str">
        <x:v>Customer Success</x:v>
      </x:c>
    </x:row>
    <x:row r="101">
      <x:c r="A101" t="str">
        <x:v>CRB5099</x:v>
      </x:c>
      <x:c r="B101" s="14" t="str">
        <x:v>2026-07-03</x:v>
      </x:c>
      <x:c r="C101" t="str">
        <x:v>Sofia Martinez</x:v>
      </x:c>
      <x:c r="D101" t="str">
        <x:v>u1489</x:v>
      </x:c>
      <x:c r="E101" t="str">
        <x:v>Instagram</x:v>
      </x:c>
      <x:c r="F101" t="str">
        <x:v>Varanasi</x:v>
      </x:c>
      <x:c r="G101" t="str">
        <x:v>Blue Pottery</x:v>
      </x:c>
      <x:c r="H101" t="n">
        <x:v>6</x:v>
      </x:c>
      <x:c r="I101" s="16" t="n">
        <x:v>2000</x:v>
      </x:c>
      <x:c r="J101" s="16" t="str">
        <x:v>Completed</x:v>
      </x:c>
      <x:c r="K101" s="16" t="n">
        <x:f>H101*I101</x:f>
        <x:v>12000</x:v>
      </x:c>
      <x:c r="L101" s="16" t="n">
        <x:f>IF(J101="Completed",K101*0.80,0)</x:f>
        <x:v>9600</x:v>
      </x:c>
      <x:c r="M101" s="18" t="n">
        <x:v>3.9</x:v>
      </x:c>
      <x:c r="N101" t="str">
        <x:v>No</x:v>
      </x:c>
      <x:c r="O101" t="str">
        <x:v>Traveler Success</x:v>
      </x:c>
    </x:row>
    <x:row r="102">
      <x:c r="A102" t="str">
        <x:v>CRB5100</x:v>
      </x:c>
      <x:c r="B102" s="14" t="str">
        <x:v>2026-07-03</x:v>
      </x:c>
      <x:c r="C102" t="str">
        <x:v>Priya Sharma</x:v>
      </x:c>
      <x:c r="D102" t="str">
        <x:v>u1492</x:v>
      </x:c>
      <x:c r="E102" t="str">
        <x:v>Referral</x:v>
      </x:c>
      <x:c r="F102" t="str">
        <x:v>Jaipur</x:v>
      </x:c>
      <x:c r="G102" t="str">
        <x:v>Weaving</x:v>
      </x:c>
      <x:c r="H102" t="n">
        <x:v>10</x:v>
      </x:c>
      <x:c r="I102" s="16" t="n">
        <x:v>1800</x:v>
      </x:c>
      <x:c r="J102" s="16" t="str">
        <x:v>Completed</x:v>
      </x:c>
      <x:c r="K102" s="16" t="n">
        <x:f>H102*I102</x:f>
        <x:v>18000</x:v>
      </x:c>
      <x:c r="L102" s="16" t="n">
        <x:f>IF(J102="Completed",K102*0.80,0)</x:f>
        <x:v>14400</x:v>
      </x:c>
      <x:c r="M102" s="18" t="n">
        <x:v>4.9</x:v>
      </x:c>
      <x:c r="N102" t="str">
        <x:v>No</x:v>
      </x:c>
      <x:c r="O102" t="str">
        <x:v>Revenue / Enterprise Team</x:v>
      </x:c>
    </x:row>
    <x:row r="103">
      <x:c r="A103" t="str">
        <x:v>CRB5101</x:v>
      </x:c>
      <x:c r="B103" s="14" t="str">
        <x:v>2026-07-03</x:v>
      </x:c>
      <x:c r="C103" t="str">
        <x:v>Rahul Mehta</x:v>
      </x:c>
      <x:c r="D103" t="str">
        <x:v>u1496</x:v>
      </x:c>
      <x:c r="E103" t="str">
        <x:v>Referral</x:v>
      </x:c>
      <x:c r="F103" t="str">
        <x:v>Varanasi</x:v>
      </x:c>
      <x:c r="G103" t="str">
        <x:v>Weaving</x:v>
      </x:c>
      <x:c r="H103" t="n">
        <x:v>12</x:v>
      </x:c>
      <x:c r="I103" s="16" t="n">
        <x:v>1800</x:v>
      </x:c>
      <x:c r="J103" s="16" t="str">
        <x:v>Completed</x:v>
      </x:c>
      <x:c r="K103" s="16" t="n">
        <x:f>H103*I103</x:f>
        <x:v>21600</x:v>
      </x:c>
      <x:c r="L103" s="16" t="n">
        <x:f>IF(J103="Completed",K103*0.80,0)</x:f>
        <x:v>17280</x:v>
      </x:c>
      <x:c r="M103" s="18" t="n">
        <x:v>3.9</x:v>
      </x:c>
      <x:c r="N103" t="str">
        <x:v>No</x:v>
      </x:c>
      <x:c r="O103" t="str">
        <x:v>Traveler Success</x:v>
      </x:c>
    </x:row>
    <x:row r="104">
      <x:c r="A104" t="str">
        <x:v>CRB5102</x:v>
      </x:c>
      <x:c r="B104" s="14" t="str">
        <x:v>2026-07-03</x:v>
      </x:c>
      <x:c r="C104" t="str">
        <x:v>Priya Sharma</x:v>
      </x:c>
      <x:c r="D104" t="str">
        <x:v>u1500</x:v>
      </x:c>
      <x:c r="E104" t="str">
        <x:v>Referral</x:v>
      </x:c>
      <x:c r="F104" t="str">
        <x:v>Udaipur</x:v>
      </x:c>
      <x:c r="G104" t="str">
        <x:v>Weaving</x:v>
      </x:c>
      <x:c r="H104" t="n">
        <x:v>4</x:v>
      </x:c>
      <x:c r="I104" s="16" t="n">
        <x:v>1800</x:v>
      </x:c>
      <x:c r="J104" s="16" t="str">
        <x:v>Completed</x:v>
      </x:c>
      <x:c r="K104" s="16" t="n">
        <x:f>H104*I104</x:f>
        <x:v>7200</x:v>
      </x:c>
      <x:c r="L104" s="16" t="n">
        <x:f>IF(J104="Completed",K104*0.80,0)</x:f>
        <x:v>5760</x:v>
      </x:c>
      <x:c r="M104" s="18" t="n">
        <x:v>4</x:v>
      </x:c>
      <x:c r="N104" t="str">
        <x:v>Yes</x:v>
      </x:c>
      <x:c r="O104" t="str">
        <x:v>Revenue / Enterprise Team</x:v>
      </x:c>
    </x:row>
    <x:row r="105">
      <x:c r="A105" t="str">
        <x:v>CRB5103</x:v>
      </x:c>
      <x:c r="B105" s="14" t="str">
        <x:v>2026-07-03</x:v>
      </x:c>
      <x:c r="C105" t="str">
        <x:v>Ananya Reddy</x:v>
      </x:c>
      <x:c r="D105" t="str">
        <x:v>u1506</x:v>
      </x:c>
      <x:c r="E105" t="str">
        <x:v>Google Search</x:v>
      </x:c>
      <x:c r="F105" t="str">
        <x:v>Khurja</x:v>
      </x:c>
      <x:c r="G105" t="str">
        <x:v>Pottery</x:v>
      </x:c>
      <x:c r="H105" t="n">
        <x:v>10</x:v>
      </x:c>
      <x:c r="I105" s="16" t="n">
        <x:v>1800</x:v>
      </x:c>
      <x:c r="J105" s="16" t="str">
        <x:v>No-show</x:v>
      </x:c>
      <x:c r="K105" s="16" t="n">
        <x:f>H105*I105</x:f>
        <x:v>18000</x:v>
      </x:c>
      <x:c r="L105" s="16" t="n">
        <x:f>IF(J105="Completed",K105*0.80,0)</x:f>
        <x:v>0</x:v>
      </x:c>
      <x:c r="M105" s="18" t="str"/>
      <x:c r="N105" t="str">
        <x:v>No</x:v>
      </x:c>
      <x:c r="O105" t="str">
        <x:v>Customer Success</x:v>
      </x:c>
    </x:row>
    <x:row r="106">
      <x:c r="A106" t="str">
        <x:v>CRB5104</x:v>
      </x:c>
      <x:c r="B106" s="14" t="str">
        <x:v>2026-07-03</x:v>
      </x:c>
      <x:c r="C106" t="str">
        <x:v>Priya Sharma</x:v>
      </x:c>
      <x:c r="D106" t="str">
        <x:v>u1508</x:v>
      </x:c>
      <x:c r="E106" t="str">
        <x:v>Referral</x:v>
      </x:c>
      <x:c r="F106" t="str">
        <x:v>Bangalore</x:v>
      </x:c>
      <x:c r="G106" t="str">
        <x:v>Blue Pottery</x:v>
      </x:c>
      <x:c r="H106" t="n">
        <x:v>10</x:v>
      </x:c>
      <x:c r="I106" s="16" t="n">
        <x:v>1500</x:v>
      </x:c>
      <x:c r="J106" s="16" t="str">
        <x:v>Completed</x:v>
      </x:c>
      <x:c r="K106" s="16" t="n">
        <x:f>H106*I106</x:f>
        <x:v>15000</x:v>
      </x:c>
      <x:c r="L106" s="16" t="n">
        <x:f>IF(J106="Completed",K106*0.80,0)</x:f>
        <x:v>12000</x:v>
      </x:c>
      <x:c r="M106" s="18" t="n">
        <x:v>4.5</x:v>
      </x:c>
      <x:c r="N106" t="str">
        <x:v>Yes</x:v>
      </x:c>
      <x:c r="O106" t="str">
        <x:v>Revenue / Enterprise Team</x:v>
      </x:c>
    </x:row>
    <x:row r="107">
      <x:c r="A107" t="str">
        <x:v>CRB5105</x:v>
      </x:c>
      <x:c r="B107" s="14" t="str">
        <x:v>2026-07-03</x:v>
      </x:c>
      <x:c r="C107" t="str">
        <x:v>Priya Sharma</x:v>
      </x:c>
      <x:c r="D107" t="str">
        <x:v>u1516</x:v>
      </x:c>
      <x:c r="E107" t="str">
        <x:v>Referral</x:v>
      </x:c>
      <x:c r="F107" t="str">
        <x:v>Varanasi</x:v>
      </x:c>
      <x:c r="G107" t="str">
        <x:v>Blue Pottery</x:v>
      </x:c>
      <x:c r="H107" t="n">
        <x:v>10</x:v>
      </x:c>
      <x:c r="I107" s="16" t="n">
        <x:v>3000</x:v>
      </x:c>
      <x:c r="J107" s="16" t="str">
        <x:v>Completed</x:v>
      </x:c>
      <x:c r="K107" s="16" t="n">
        <x:f>H107*I107</x:f>
        <x:v>30000</x:v>
      </x:c>
      <x:c r="L107" s="16" t="n">
        <x:f>IF(J107="Completed",K107*0.80,0)</x:f>
        <x:v>24000</x:v>
      </x:c>
      <x:c r="M107" s="18" t="n">
        <x:v>4.2</x:v>
      </x:c>
      <x:c r="N107" t="str">
        <x:v>No</x:v>
      </x:c>
      <x:c r="O107" t="str">
        <x:v>Traveler Success</x:v>
      </x:c>
    </x:row>
    <x:row r="108">
      <x:c r="A108" t="str">
        <x:v>CRB5106</x:v>
      </x:c>
      <x:c r="B108" s="14" t="str">
        <x:v>2026-07-03</x:v>
      </x:c>
      <x:c r="C108" t="str">
        <x:v>Ananya Reddy</x:v>
      </x:c>
      <x:c r="D108" t="str">
        <x:v>u1524</x:v>
      </x:c>
      <x:c r="E108" t="str">
        <x:v>Google Search</x:v>
      </x:c>
      <x:c r="F108" t="str">
        <x:v>Khurja</x:v>
      </x:c>
      <x:c r="G108" t="str">
        <x:v>Pottery</x:v>
      </x:c>
      <x:c r="H108" t="n">
        <x:v>1</x:v>
      </x:c>
      <x:c r="I108" s="16" t="n">
        <x:v>3500</x:v>
      </x:c>
      <x:c r="J108" s="16" t="str">
        <x:v>Completed</x:v>
      </x:c>
      <x:c r="K108" s="16" t="n">
        <x:f>H108*I108</x:f>
        <x:v>3500</x:v>
      </x:c>
      <x:c r="L108" s="16" t="n">
        <x:f>IF(J108="Completed",K108*0.80,0)</x:f>
        <x:v>2800</x:v>
      </x:c>
      <x:c r="M108" s="18" t="n">
        <x:v>3.8</x:v>
      </x:c>
      <x:c r="N108" t="str">
        <x:v>No</x:v>
      </x:c>
      <x:c r="O108" t="str">
        <x:v>Revenue / Enterprise Team</x:v>
      </x:c>
    </x:row>
    <x:row r="109">
      <x:c r="A109" t="str">
        <x:v>CRB5107</x:v>
      </x:c>
      <x:c r="B109" s="14" t="str">
        <x:v>2026-07-03</x:v>
      </x:c>
      <x:c r="C109" t="str">
        <x:v>Ananya Reddy</x:v>
      </x:c>
      <x:c r="D109" t="str">
        <x:v>u1530</x:v>
      </x:c>
      <x:c r="E109" t="str">
        <x:v>Instagram</x:v>
      </x:c>
      <x:c r="F109" t="str">
        <x:v>Udaipur</x:v>
      </x:c>
      <x:c r="G109" t="str">
        <x:v>Block Printing</x:v>
      </x:c>
      <x:c r="H109" t="n">
        <x:v>4</x:v>
      </x:c>
      <x:c r="I109" s="16" t="n">
        <x:v>2000</x:v>
      </x:c>
      <x:c r="J109" s="16" t="str">
        <x:v>Completed</x:v>
      </x:c>
      <x:c r="K109" s="16" t="n">
        <x:f>H109*I109</x:f>
        <x:v>8000</x:v>
      </x:c>
      <x:c r="L109" s="16" t="n">
        <x:f>IF(J109="Completed",K109*0.80,0)</x:f>
        <x:v>6400</x:v>
      </x:c>
      <x:c r="M109" s="18" t="n">
        <x:v>4.6</x:v>
      </x:c>
      <x:c r="N109" t="str">
        <x:v>No</x:v>
      </x:c>
      <x:c r="O109" t="str">
        <x:v>Revenue / Enterprise Team</x:v>
      </x:c>
    </x:row>
    <x:row r="110">
      <x:c r="A110" t="str">
        <x:v>CRB5108</x:v>
      </x:c>
      <x:c r="B110" s="14" t="str">
        <x:v>2026-07-03</x:v>
      </x:c>
      <x:c r="C110" t="str">
        <x:v>Ananya Reddy</x:v>
      </x:c>
      <x:c r="D110" t="str">
        <x:v>u1532</x:v>
      </x:c>
      <x:c r="E110" t="str">
        <x:v>Google Search</x:v>
      </x:c>
      <x:c r="F110" t="str">
        <x:v>Jaipur</x:v>
      </x:c>
      <x:c r="G110" t="str">
        <x:v>Blue Pottery</x:v>
      </x:c>
      <x:c r="H110" t="n">
        <x:v>10</x:v>
      </x:c>
      <x:c r="I110" s="16" t="n">
        <x:v>3000</x:v>
      </x:c>
      <x:c r="J110" s="16" t="str">
        <x:v>Completed</x:v>
      </x:c>
      <x:c r="K110" s="16" t="n">
        <x:f>H110*I110</x:f>
        <x:v>30000</x:v>
      </x:c>
      <x:c r="L110" s="16" t="n">
        <x:f>IF(J110="Completed",K110*0.80,0)</x:f>
        <x:v>24000</x:v>
      </x:c>
      <x:c r="M110" s="18" t="n">
        <x:v>4.5</x:v>
      </x:c>
      <x:c r="N110" t="str">
        <x:v>No</x:v>
      </x:c>
      <x:c r="O110" t="str">
        <x:v>Revenue / Enterprise Team</x:v>
      </x:c>
    </x:row>
    <x:row r="111">
      <x:c r="A111" t="str">
        <x:v>CRB5109</x:v>
      </x:c>
      <x:c r="B111" s="14" t="str">
        <x:v>2026-07-03</x:v>
      </x:c>
      <x:c r="C111" t="str">
        <x:v>Mark Thompson</x:v>
      </x:c>
      <x:c r="D111" t="str">
        <x:v>u1536</x:v>
      </x:c>
      <x:c r="E111" t="str">
        <x:v>Direct</x:v>
      </x:c>
      <x:c r="F111" t="str">
        <x:v>Khurja</x:v>
      </x:c>
      <x:c r="G111" t="str">
        <x:v>Weaving</x:v>
      </x:c>
      <x:c r="H111" t="n">
        <x:v>4</x:v>
      </x:c>
      <x:c r="I111" s="16" t="n">
        <x:v>2200</x:v>
      </x:c>
      <x:c r="J111" s="16" t="str">
        <x:v>Completed</x:v>
      </x:c>
      <x:c r="K111" s="16" t="n">
        <x:f>H111*I111</x:f>
        <x:v>8800</x:v>
      </x:c>
      <x:c r="L111" s="16" t="n">
        <x:f>IF(J111="Completed",K111*0.80,0)</x:f>
        <x:v>7040</x:v>
      </x:c>
      <x:c r="M111" s="18" t="n">
        <x:v>4.1</x:v>
      </x:c>
      <x:c r="N111" t="str">
        <x:v>No</x:v>
      </x:c>
      <x:c r="O111" t="str">
        <x:v>Traveler Success</x:v>
      </x:c>
    </x:row>
    <x:row r="112">
      <x:c r="A112" t="str">
        <x:v>CRB5110</x:v>
      </x:c>
      <x:c r="B112" s="14" t="str">
        <x:v>2026-07-03</x:v>
      </x:c>
      <x:c r="C112" t="str">
        <x:v>Mark Thompson</x:v>
      </x:c>
      <x:c r="D112" t="str">
        <x:v>u1541</x:v>
      </x:c>
      <x:c r="E112" t="str">
        <x:v>Travel Blog</x:v>
      </x:c>
      <x:c r="F112" t="str">
        <x:v>Khurja</x:v>
      </x:c>
      <x:c r="G112" t="str">
        <x:v>Weaving</x:v>
      </x:c>
      <x:c r="H112" t="n">
        <x:v>6</x:v>
      </x:c>
      <x:c r="I112" s="16" t="n">
        <x:v>3000</x:v>
      </x:c>
      <x:c r="J112" s="16" t="str">
        <x:v>No-show</x:v>
      </x:c>
      <x:c r="K112" s="16" t="n">
        <x:f>H112*I112</x:f>
        <x:v>18000</x:v>
      </x:c>
      <x:c r="L112" s="16" t="n">
        <x:f>IF(J112="Completed",K112*0.80,0)</x:f>
        <x:v>0</x:v>
      </x:c>
      <x:c r="M112" s="18" t="str"/>
      <x:c r="N112" t="str">
        <x:v>Yes</x:v>
      </x:c>
      <x:c r="O112" t="str">
        <x:v>Traveler Success</x:v>
      </x:c>
    </x:row>
    <x:row r="113">
      <x:c r="A113" t="str">
        <x:v>CRB5111</x:v>
      </x:c>
      <x:c r="B113" s="14" t="str">
        <x:v>2026-07-03</x:v>
      </x:c>
      <x:c r="C113" t="str">
        <x:v>Priya Sharma</x:v>
      </x:c>
      <x:c r="D113" t="str">
        <x:v>u1544</x:v>
      </x:c>
      <x:c r="E113" t="str">
        <x:v>Travel Blog</x:v>
      </x:c>
      <x:c r="F113" t="str">
        <x:v>Udaipur</x:v>
      </x:c>
      <x:c r="G113" t="str">
        <x:v>Blue Pottery</x:v>
      </x:c>
      <x:c r="H113" t="n">
        <x:v>6</x:v>
      </x:c>
      <x:c r="I113" s="16" t="n">
        <x:v>1500</x:v>
      </x:c>
      <x:c r="J113" s="16" t="str">
        <x:v>Completed</x:v>
      </x:c>
      <x:c r="K113" s="16" t="n">
        <x:f>H113*I113</x:f>
        <x:v>9000</x:v>
      </x:c>
      <x:c r="L113" s="16" t="n">
        <x:f>IF(J113="Completed",K113*0.80,0)</x:f>
        <x:v>7200</x:v>
      </x:c>
      <x:c r="M113" s="18" t="n">
        <x:v>4.4</x:v>
      </x:c>
      <x:c r="N113" t="str">
        <x:v>Yes</x:v>
      </x:c>
      <x:c r="O113" t="str">
        <x:v>Revenue / Enterprise Team</x:v>
      </x:c>
    </x:row>
    <x:row r="114">
      <x:c r="A114" t="str">
        <x:v>CRB5112</x:v>
      </x:c>
      <x:c r="B114" s="14" t="str">
        <x:v>2026-07-03</x:v>
      </x:c>
      <x:c r="C114" t="str">
        <x:v>Sofia Martinez</x:v>
      </x:c>
      <x:c r="D114" t="str">
        <x:v>u1545</x:v>
      </x:c>
      <x:c r="E114" t="str">
        <x:v>Google Search</x:v>
      </x:c>
      <x:c r="F114" t="str">
        <x:v>Khurja</x:v>
      </x:c>
      <x:c r="G114" t="str">
        <x:v>Weaving</x:v>
      </x:c>
      <x:c r="H114" t="n">
        <x:v>4</x:v>
      </x:c>
      <x:c r="I114" s="16" t="n">
        <x:v>1800</x:v>
      </x:c>
      <x:c r="J114" s="16" t="str">
        <x:v>Completed</x:v>
      </x:c>
      <x:c r="K114" s="16" t="n">
        <x:f>H114*I114</x:f>
        <x:v>7200</x:v>
      </x:c>
      <x:c r="L114" s="16" t="n">
        <x:f>IF(J114="Completed",K114*0.80,0)</x:f>
        <x:v>5760</x:v>
      </x:c>
      <x:c r="M114" s="18" t="n">
        <x:v>4.9</x:v>
      </x:c>
      <x:c r="N114" t="str">
        <x:v>No</x:v>
      </x:c>
      <x:c r="O114" t="str">
        <x:v>Customer Success</x:v>
      </x:c>
    </x:row>
    <x:row r="115">
      <x:c r="A115" t="str">
        <x:v>CRB5113</x:v>
      </x:c>
      <x:c r="B115" s="14" t="str">
        <x:v>2026-07-03</x:v>
      </x:c>
      <x:c r="C115" t="str">
        <x:v>Priya Sharma</x:v>
      </x:c>
      <x:c r="D115" t="str">
        <x:v>u1548</x:v>
      </x:c>
      <x:c r="E115" t="str">
        <x:v>Google Search</x:v>
      </x:c>
      <x:c r="F115" t="str">
        <x:v>Jaipur</x:v>
      </x:c>
      <x:c r="G115" t="str">
        <x:v>Warli Painting</x:v>
      </x:c>
      <x:c r="H115" t="n">
        <x:v>1</x:v>
      </x:c>
      <x:c r="I115" s="16" t="n">
        <x:v>2200</x:v>
      </x:c>
      <x:c r="J115" s="16" t="str">
        <x:v>Completed</x:v>
      </x:c>
      <x:c r="K115" s="16" t="n">
        <x:f>H115*I115</x:f>
        <x:v>2200</x:v>
      </x:c>
      <x:c r="L115" s="16" t="n">
        <x:f>IF(J115="Completed",K115*0.80,0)</x:f>
        <x:v>1760</x:v>
      </x:c>
      <x:c r="M115" s="18" t="n">
        <x:v>4.4</x:v>
      </x:c>
      <x:c r="N115" t="str">
        <x:v>Yes</x:v>
      </x:c>
      <x:c r="O115" t="str">
        <x:v>Revenue / Enterprise Team</x:v>
      </x:c>
    </x:row>
    <x:row r="116">
      <x:c r="A116" t="str">
        <x:v>CRB5114</x:v>
      </x:c>
      <x:c r="B116" s="14" t="str">
        <x:v>2026-07-03</x:v>
      </x:c>
      <x:c r="C116" t="str">
        <x:v>Priya Sharma</x:v>
      </x:c>
      <x:c r="D116" t="str">
        <x:v>u1551</x:v>
      </x:c>
      <x:c r="E116" t="str">
        <x:v>Google Search</x:v>
      </x:c>
      <x:c r="F116" t="str">
        <x:v>Jaipur</x:v>
      </x:c>
      <x:c r="G116" t="str">
        <x:v>Weaving</x:v>
      </x:c>
      <x:c r="H116" t="n">
        <x:v>2</x:v>
      </x:c>
      <x:c r="I116" s="16" t="n">
        <x:v>2200</x:v>
      </x:c>
      <x:c r="J116" s="16" t="str">
        <x:v>Completed</x:v>
      </x:c>
      <x:c r="K116" s="16" t="n">
        <x:f>H116*I116</x:f>
        <x:v>4400</x:v>
      </x:c>
      <x:c r="L116" s="16" t="n">
        <x:f>IF(J116="Completed",K116*0.80,0)</x:f>
        <x:v>3520</x:v>
      </x:c>
      <x:c r="M116" s="18" t="n">
        <x:v>4.7</x:v>
      </x:c>
      <x:c r="N116" t="str">
        <x:v>No</x:v>
      </x:c>
      <x:c r="O116" t="str">
        <x:v>Traveler Success</x:v>
      </x:c>
    </x:row>
    <x:row r="117">
      <x:c r="A117" t="str">
        <x:v>CRB5115</x:v>
      </x:c>
      <x:c r="B117" s="14" t="str">
        <x:v>2026-07-03</x:v>
      </x:c>
      <x:c r="C117" t="str">
        <x:v>Mark Thompson</x:v>
      </x:c>
      <x:c r="D117" t="str">
        <x:v>u1556</x:v>
      </x:c>
      <x:c r="E117" t="str">
        <x:v>Instagram</x:v>
      </x:c>
      <x:c r="F117" t="str">
        <x:v>Bangalore</x:v>
      </x:c>
      <x:c r="G117" t="str">
        <x:v>Blue Pottery</x:v>
      </x:c>
      <x:c r="H117" t="n">
        <x:v>2</x:v>
      </x:c>
      <x:c r="I117" s="16" t="n">
        <x:v>2000</x:v>
      </x:c>
      <x:c r="J117" s="16" t="str">
        <x:v>Completed</x:v>
      </x:c>
      <x:c r="K117" s="16" t="n">
        <x:f>H117*I117</x:f>
        <x:v>4000</x:v>
      </x:c>
      <x:c r="L117" s="16" t="n">
        <x:f>IF(J117="Completed",K117*0.80,0)</x:f>
        <x:v>3200</x:v>
      </x:c>
      <x:c r="M117" s="18" t="n">
        <x:v>5</x:v>
      </x:c>
      <x:c r="N117" t="str">
        <x:v>No</x:v>
      </x:c>
      <x:c r="O117" t="str">
        <x:v>Traveler Success</x:v>
      </x:c>
    </x:row>
    <x:row r="118">
      <x:c r="A118" t="str">
        <x:v>CRB5116</x:v>
      </x:c>
      <x:c r="B118" s="14" t="str">
        <x:v>2026-07-03</x:v>
      </x:c>
      <x:c r="C118" t="str">
        <x:v>Mark Thompson</x:v>
      </x:c>
      <x:c r="D118" t="str">
        <x:v>u1559</x:v>
      </x:c>
      <x:c r="E118" t="str">
        <x:v>Instagram</x:v>
      </x:c>
      <x:c r="F118" t="str">
        <x:v>Jaipur</x:v>
      </x:c>
      <x:c r="G118" t="str">
        <x:v>Pottery</x:v>
      </x:c>
      <x:c r="H118" t="n">
        <x:v>12</x:v>
      </x:c>
      <x:c r="I118" s="16" t="n">
        <x:v>2500</x:v>
      </x:c>
      <x:c r="J118" s="16" t="str">
        <x:v>Completed</x:v>
      </x:c>
      <x:c r="K118" s="16" t="n">
        <x:f>H118*I118</x:f>
        <x:v>30000</x:v>
      </x:c>
      <x:c r="L118" s="16" t="n">
        <x:f>IF(J118="Completed",K118*0.80,0)</x:f>
        <x:v>24000</x:v>
      </x:c>
      <x:c r="M118" s="18" t="n">
        <x:v>4.2</x:v>
      </x:c>
      <x:c r="N118" t="str">
        <x:v>No</x:v>
      </x:c>
      <x:c r="O118" t="str">
        <x:v>Traveler Success</x:v>
      </x:c>
    </x:row>
    <x:row r="119">
      <x:c r="A119" t="str">
        <x:v>CRB5117</x:v>
      </x:c>
      <x:c r="B119" s="14" t="str">
        <x:v>2026-07-03</x:v>
      </x:c>
      <x:c r="C119" t="str">
        <x:v>Priya Sharma</x:v>
      </x:c>
      <x:c r="D119" t="str">
        <x:v>u1574</x:v>
      </x:c>
      <x:c r="E119" t="str">
        <x:v>Travel Blog</x:v>
      </x:c>
      <x:c r="F119" t="str">
        <x:v>Jaipur</x:v>
      </x:c>
      <x:c r="G119" t="str">
        <x:v>Blue Pottery</x:v>
      </x:c>
      <x:c r="H119" t="n">
        <x:v>1</x:v>
      </x:c>
      <x:c r="I119" s="16" t="n">
        <x:v>1500</x:v>
      </x:c>
      <x:c r="J119" s="16" t="str">
        <x:v>Completed</x:v>
      </x:c>
      <x:c r="K119" s="16" t="n">
        <x:f>H119*I119</x:f>
        <x:v>1500</x:v>
      </x:c>
      <x:c r="L119" s="16" t="n">
        <x:f>IF(J119="Completed",K119*0.80,0)</x:f>
        <x:v>1200</x:v>
      </x:c>
      <x:c r="M119" s="18" t="n">
        <x:v>4.5</x:v>
      </x:c>
      <x:c r="N119" t="str">
        <x:v>No</x:v>
      </x:c>
      <x:c r="O119" t="str">
        <x:v>Revenue / Enterprise Team</x:v>
      </x:c>
    </x:row>
    <x:row r="120">
      <x:c r="A120" t="str">
        <x:v>CRB5118</x:v>
      </x:c>
      <x:c r="B120" s="14" t="str">
        <x:v>2026-07-03</x:v>
      </x:c>
      <x:c r="C120" t="str">
        <x:v>Rahul Mehta</x:v>
      </x:c>
      <x:c r="D120" t="str">
        <x:v>u1582</x:v>
      </x:c>
      <x:c r="E120" t="str">
        <x:v>Google Search</x:v>
      </x:c>
      <x:c r="F120" t="str">
        <x:v>Varanasi</x:v>
      </x:c>
      <x:c r="G120" t="str">
        <x:v>Block Printing</x:v>
      </x:c>
      <x:c r="H120" t="n">
        <x:v>2</x:v>
      </x:c>
      <x:c r="I120" s="16" t="n">
        <x:v>3500</x:v>
      </x:c>
      <x:c r="J120" s="16" t="str">
        <x:v>Completed</x:v>
      </x:c>
      <x:c r="K120" s="16" t="n">
        <x:f>H120*I120</x:f>
        <x:v>7000</x:v>
      </x:c>
      <x:c r="L120" s="16" t="n">
        <x:f>IF(J120="Completed",K120*0.80,0)</x:f>
        <x:v>5600</x:v>
      </x:c>
      <x:c r="M120" s="18" t="n">
        <x:v>4.5</x:v>
      </x:c>
      <x:c r="N120" t="str">
        <x:v>No</x:v>
      </x:c>
      <x:c r="O120" t="str">
        <x:v>Customer Success</x:v>
      </x:c>
    </x:row>
    <x:row r="121">
      <x:c r="A121" t="str">
        <x:v>CRB5119</x:v>
      </x:c>
      <x:c r="B121" s="14" t="str">
        <x:v>2026-07-03</x:v>
      </x:c>
      <x:c r="C121" t="str">
        <x:v>Mark Thompson</x:v>
      </x:c>
      <x:c r="D121" t="str">
        <x:v>u1594</x:v>
      </x:c>
      <x:c r="E121" t="str">
        <x:v>Instagram</x:v>
      </x:c>
      <x:c r="F121" t="str">
        <x:v>Bangalore</x:v>
      </x:c>
      <x:c r="G121" t="str">
        <x:v>Block Printing</x:v>
      </x:c>
      <x:c r="H121" t="n">
        <x:v>3</x:v>
      </x:c>
      <x:c r="I121" s="16" t="n">
        <x:v>2000</x:v>
      </x:c>
      <x:c r="J121" s="16" t="str">
        <x:v>Completed</x:v>
      </x:c>
      <x:c r="K121" s="16" t="n">
        <x:f>H121*I121</x:f>
        <x:v>6000</x:v>
      </x:c>
      <x:c r="L121" s="16" t="n">
        <x:f>IF(J121="Completed",K121*0.80,0)</x:f>
        <x:v>4800</x:v>
      </x:c>
      <x:c r="M121" s="18" t="n">
        <x:v>4.1</x:v>
      </x:c>
      <x:c r="N121" t="str">
        <x:v>No</x:v>
      </x:c>
      <x:c r="O121" t="str">
        <x:v>Traveler Success</x:v>
      </x:c>
    </x:row>
    <x:row r="122">
      <x:c r="A122" t="str">
        <x:v>CRB5120</x:v>
      </x:c>
      <x:c r="B122" s="14" t="str">
        <x:v>2026-07-03</x:v>
      </x:c>
      <x:c r="C122" t="str">
        <x:v>Mark Thompson</x:v>
      </x:c>
      <x:c r="D122" t="str">
        <x:v>u1599</x:v>
      </x:c>
      <x:c r="E122" t="str">
        <x:v>Referral</x:v>
      </x:c>
      <x:c r="F122" t="str">
        <x:v>Bangalore</x:v>
      </x:c>
      <x:c r="G122" t="str">
        <x:v>Block Printing</x:v>
      </x:c>
      <x:c r="H122" t="n">
        <x:v>12</x:v>
      </x:c>
      <x:c r="I122" s="16" t="n">
        <x:v>3500</x:v>
      </x:c>
      <x:c r="J122" s="16" t="str">
        <x:v>Completed</x:v>
      </x:c>
      <x:c r="K122" s="16" t="n">
        <x:f>H122*I122</x:f>
        <x:v>42000</x:v>
      </x:c>
      <x:c r="L122" s="16" t="n">
        <x:f>IF(J122="Completed",K122*0.80,0)</x:f>
        <x:v>33600</x:v>
      </x:c>
      <x:c r="M122" s="18" t="n">
        <x:v>4.7</x:v>
      </x:c>
      <x:c r="N122" t="str">
        <x:v>No</x:v>
      </x:c>
      <x:c r="O122" t="str">
        <x:v>Revenue / Enterprise Team</x:v>
      </x:c>
    </x:row>
    <x:row r="123">
      <x:c r="A123" t="str">
        <x:v>CRB5121</x:v>
      </x:c>
      <x:c r="B123" s="14" t="str">
        <x:v>2026-07-03</x:v>
      </x:c>
      <x:c r="C123" t="str">
        <x:v>Sofia Martinez</x:v>
      </x:c>
      <x:c r="D123" t="str">
        <x:v>u1601</x:v>
      </x:c>
      <x:c r="E123" t="str">
        <x:v>Google Search</x:v>
      </x:c>
      <x:c r="F123" t="str">
        <x:v>Khurja</x:v>
      </x:c>
      <x:c r="G123" t="str">
        <x:v>Warli Painting</x:v>
      </x:c>
      <x:c r="H123" t="n">
        <x:v>4</x:v>
      </x:c>
      <x:c r="I123" s="16" t="n">
        <x:v>1800</x:v>
      </x:c>
      <x:c r="J123" s="16" t="str">
        <x:v>Completed</x:v>
      </x:c>
      <x:c r="K123" s="16" t="n">
        <x:f>H123*I123</x:f>
        <x:v>7200</x:v>
      </x:c>
      <x:c r="L123" s="16" t="n">
        <x:f>IF(J123="Completed",K123*0.80,0)</x:f>
        <x:v>5760</x:v>
      </x:c>
      <x:c r="M123" s="18" t="n">
        <x:v>3.8</x:v>
      </x:c>
      <x:c r="N123" t="str">
        <x:v>No</x:v>
      </x:c>
      <x:c r="O123" t="str">
        <x:v>Traveler Success</x:v>
      </x:c>
    </x:row>
    <x:row r="124">
      <x:c r="A124" t="str">
        <x:v>CRB5122</x:v>
      </x:c>
      <x:c r="B124" s="14" t="str">
        <x:v>2026-07-03</x:v>
      </x:c>
      <x:c r="C124" t="str">
        <x:v>Ananya Reddy</x:v>
      </x:c>
      <x:c r="D124" t="str">
        <x:v>u1604</x:v>
      </x:c>
      <x:c r="E124" t="str">
        <x:v>Instagram</x:v>
      </x:c>
      <x:c r="F124" t="str">
        <x:v>Varanasi</x:v>
      </x:c>
      <x:c r="G124" t="str">
        <x:v>Warli Painting</x:v>
      </x:c>
      <x:c r="H124" t="n">
        <x:v>2</x:v>
      </x:c>
      <x:c r="I124" s="16" t="n">
        <x:v>2200</x:v>
      </x:c>
      <x:c r="J124" s="16" t="str">
        <x:v>Completed</x:v>
      </x:c>
      <x:c r="K124" s="16" t="n">
        <x:f>H124*I124</x:f>
        <x:v>4400</x:v>
      </x:c>
      <x:c r="L124" s="16" t="n">
        <x:f>IF(J124="Completed",K124*0.80,0)</x:f>
        <x:v>3520</x:v>
      </x:c>
      <x:c r="M124" s="18" t="n">
        <x:v>4.2</x:v>
      </x:c>
      <x:c r="N124" t="str">
        <x:v>No</x:v>
      </x:c>
      <x:c r="O124" t="str">
        <x:v>Customer Success</x:v>
      </x:c>
    </x:row>
    <x:row r="125">
      <x:c r="A125" t="str">
        <x:v>CRB5123</x:v>
      </x:c>
      <x:c r="B125" s="14" t="str">
        <x:v>2026-07-04</x:v>
      </x:c>
      <x:c r="C125" t="str">
        <x:v>Sofia Martinez</x:v>
      </x:c>
      <x:c r="D125" t="str">
        <x:v>u1612</x:v>
      </x:c>
      <x:c r="E125" t="str">
        <x:v>Direct</x:v>
      </x:c>
      <x:c r="F125" t="str">
        <x:v>Bangalore</x:v>
      </x:c>
      <x:c r="G125" t="str">
        <x:v>Block Printing</x:v>
      </x:c>
      <x:c r="H125" t="n">
        <x:v>3</x:v>
      </x:c>
      <x:c r="I125" s="16" t="n">
        <x:v>3500</x:v>
      </x:c>
      <x:c r="J125" s="16" t="str">
        <x:v>Completed</x:v>
      </x:c>
      <x:c r="K125" s="16" t="n">
        <x:f>H125*I125</x:f>
        <x:v>10500</x:v>
      </x:c>
      <x:c r="L125" s="16" t="n">
        <x:f>IF(J125="Completed",K125*0.80,0)</x:f>
        <x:v>8400</x:v>
      </x:c>
      <x:c r="M125" s="18" t="n">
        <x:v>4</x:v>
      </x:c>
      <x:c r="N125" t="str">
        <x:v>Yes</x:v>
      </x:c>
      <x:c r="O125" t="str">
        <x:v>Revenue / Enterprise Team</x:v>
      </x:c>
    </x:row>
    <x:row r="126">
      <x:c r="A126" t="str">
        <x:v>CRB5124</x:v>
      </x:c>
      <x:c r="B126" s="14" t="str">
        <x:v>2026-07-04</x:v>
      </x:c>
      <x:c r="C126" t="str">
        <x:v>Mark Thompson</x:v>
      </x:c>
      <x:c r="D126" t="str">
        <x:v>u1613</x:v>
      </x:c>
      <x:c r="E126" t="str">
        <x:v>Google Search</x:v>
      </x:c>
      <x:c r="F126" t="str">
        <x:v>Jaipur</x:v>
      </x:c>
      <x:c r="G126" t="str">
        <x:v>Blue Pottery</x:v>
      </x:c>
      <x:c r="H126" t="n">
        <x:v>2</x:v>
      </x:c>
      <x:c r="I126" s="16" t="n">
        <x:v>3500</x:v>
      </x:c>
      <x:c r="J126" s="16" t="str">
        <x:v>Completed</x:v>
      </x:c>
      <x:c r="K126" s="16" t="n">
        <x:f>H126*I126</x:f>
        <x:v>7000</x:v>
      </x:c>
      <x:c r="L126" s="16" t="n">
        <x:f>IF(J126="Completed",K126*0.80,0)</x:f>
        <x:v>5600</x:v>
      </x:c>
      <x:c r="M126" s="18" t="n">
        <x:v>4.8</x:v>
      </x:c>
      <x:c r="N126" t="str">
        <x:v>No</x:v>
      </x:c>
      <x:c r="O126" t="str">
        <x:v>Customer Success</x:v>
      </x:c>
    </x:row>
    <x:row r="127">
      <x:c r="A127" t="str">
        <x:v>CRB5125</x:v>
      </x:c>
      <x:c r="B127" s="14" t="str">
        <x:v>2026-07-04</x:v>
      </x:c>
      <x:c r="C127" t="str">
        <x:v>Mark Thompson</x:v>
      </x:c>
      <x:c r="D127" t="str">
        <x:v>u1618</x:v>
      </x:c>
      <x:c r="E127" t="str">
        <x:v>Travel Blog</x:v>
      </x:c>
      <x:c r="F127" t="str">
        <x:v>Udaipur</x:v>
      </x:c>
      <x:c r="G127" t="str">
        <x:v>Blue Pottery</x:v>
      </x:c>
      <x:c r="H127" t="n">
        <x:v>3</x:v>
      </x:c>
      <x:c r="I127" s="16" t="n">
        <x:v>1800</x:v>
      </x:c>
      <x:c r="J127" s="16" t="str">
        <x:v>Completed</x:v>
      </x:c>
      <x:c r="K127" s="16" t="n">
        <x:f>H127*I127</x:f>
        <x:v>5400</x:v>
      </x:c>
      <x:c r="L127" s="16" t="n">
        <x:f>IF(J127="Completed",K127*0.80,0)</x:f>
        <x:v>4320</x:v>
      </x:c>
      <x:c r="M127" s="18" t="n">
        <x:v>4.8</x:v>
      </x:c>
      <x:c r="N127" t="str">
        <x:v>No</x:v>
      </x:c>
      <x:c r="O127" t="str">
        <x:v>Customer Success</x:v>
      </x:c>
    </x:row>
    <x:row r="128">
      <x:c r="A128" t="str">
        <x:v>CRB5126</x:v>
      </x:c>
      <x:c r="B128" s="14" t="str">
        <x:v>2026-07-04</x:v>
      </x:c>
      <x:c r="C128" t="str">
        <x:v>Mark Thompson</x:v>
      </x:c>
      <x:c r="D128" t="str">
        <x:v>u1619</x:v>
      </x:c>
      <x:c r="E128" t="str">
        <x:v>Referral</x:v>
      </x:c>
      <x:c r="F128" t="str">
        <x:v>Jaipur</x:v>
      </x:c>
      <x:c r="G128" t="str">
        <x:v>Warli Painting</x:v>
      </x:c>
      <x:c r="H128" t="n">
        <x:v>10</x:v>
      </x:c>
      <x:c r="I128" s="16" t="n">
        <x:v>2500</x:v>
      </x:c>
      <x:c r="J128" s="16" t="str">
        <x:v>Completed</x:v>
      </x:c>
      <x:c r="K128" s="16" t="n">
        <x:f>H128*I128</x:f>
        <x:v>25000</x:v>
      </x:c>
      <x:c r="L128" s="16" t="n">
        <x:f>IF(J128="Completed",K128*0.80,0)</x:f>
        <x:v>20000</x:v>
      </x:c>
      <x:c r="M128" s="18" t="n">
        <x:v>4.1</x:v>
      </x:c>
      <x:c r="N128" t="str">
        <x:v>No</x:v>
      </x:c>
      <x:c r="O128" t="str">
        <x:v>Customer Success</x:v>
      </x:c>
    </x:row>
    <x:row r="129">
      <x:c r="A129" t="str">
        <x:v>CRB5127</x:v>
      </x:c>
      <x:c r="B129" s="14" t="str">
        <x:v>2026-07-04</x:v>
      </x:c>
      <x:c r="C129" t="str">
        <x:v>Mark Thompson</x:v>
      </x:c>
      <x:c r="D129" t="str">
        <x:v>u1622</x:v>
      </x:c>
      <x:c r="E129" t="str">
        <x:v>Instagram</x:v>
      </x:c>
      <x:c r="F129" t="str">
        <x:v>Bangalore</x:v>
      </x:c>
      <x:c r="G129" t="str">
        <x:v>Blue Pottery</x:v>
      </x:c>
      <x:c r="H129" t="n">
        <x:v>4</x:v>
      </x:c>
      <x:c r="I129" s="16" t="n">
        <x:v>1500</x:v>
      </x:c>
      <x:c r="J129" s="16" t="str">
        <x:v>Completed</x:v>
      </x:c>
      <x:c r="K129" s="16" t="n">
        <x:f>H129*I129</x:f>
        <x:v>6000</x:v>
      </x:c>
      <x:c r="L129" s="16" t="n">
        <x:f>IF(J129="Completed",K129*0.80,0)</x:f>
        <x:v>4800</x:v>
      </x:c>
      <x:c r="M129" s="18" t="n">
        <x:v>4.9</x:v>
      </x:c>
      <x:c r="N129" t="str">
        <x:v>No</x:v>
      </x:c>
      <x:c r="O129" t="str">
        <x:v>Revenue / Enterprise Team</x:v>
      </x:c>
    </x:row>
    <x:row r="130">
      <x:c r="A130" t="str">
        <x:v>CRB5128</x:v>
      </x:c>
      <x:c r="B130" s="14" t="str">
        <x:v>2026-07-04</x:v>
      </x:c>
      <x:c r="C130" t="str">
        <x:v>Priya Sharma</x:v>
      </x:c>
      <x:c r="D130" t="str">
        <x:v>u1629</x:v>
      </x:c>
      <x:c r="E130" t="str">
        <x:v>Direct</x:v>
      </x:c>
      <x:c r="F130" t="str">
        <x:v>Jaipur</x:v>
      </x:c>
      <x:c r="G130" t="str">
        <x:v>Pottery</x:v>
      </x:c>
      <x:c r="H130" t="n">
        <x:v>2</x:v>
      </x:c>
      <x:c r="I130" s="16" t="n">
        <x:v>2500</x:v>
      </x:c>
      <x:c r="J130" s="16" t="str">
        <x:v>Completed</x:v>
      </x:c>
      <x:c r="K130" s="16" t="n">
        <x:f>H130*I130</x:f>
        <x:v>5000</x:v>
      </x:c>
      <x:c r="L130" s="16" t="n">
        <x:f>IF(J130="Completed",K130*0.80,0)</x:f>
        <x:v>4000</x:v>
      </x:c>
      <x:c r="M130" s="18" t="n">
        <x:v>4.6</x:v>
      </x:c>
      <x:c r="N130" t="str">
        <x:v>Yes</x:v>
      </x:c>
      <x:c r="O130" t="str">
        <x:v>Revenue / Enterprise Team</x:v>
      </x:c>
    </x:row>
    <x:row r="131">
      <x:c r="A131" t="str">
        <x:v>CRB5129</x:v>
      </x:c>
      <x:c r="B131" s="14" t="str">
        <x:v>2026-07-04</x:v>
      </x:c>
      <x:c r="C131" t="str">
        <x:v>Sofia Martinez</x:v>
      </x:c>
      <x:c r="D131" t="str">
        <x:v>u1635</x:v>
      </x:c>
      <x:c r="E131" t="str">
        <x:v>Direct</x:v>
      </x:c>
      <x:c r="F131" t="str">
        <x:v>Khurja</x:v>
      </x:c>
      <x:c r="G131" t="str">
        <x:v>Warli Painting</x:v>
      </x:c>
      <x:c r="H131" t="n">
        <x:v>2</x:v>
      </x:c>
      <x:c r="I131" s="16" t="n">
        <x:v>3000</x:v>
      </x:c>
      <x:c r="J131" s="16" t="str">
        <x:v>Completed</x:v>
      </x:c>
      <x:c r="K131" s="16" t="n">
        <x:f>H131*I131</x:f>
        <x:v>6000</x:v>
      </x:c>
      <x:c r="L131" s="16" t="n">
        <x:f>IF(J131="Completed",K131*0.80,0)</x:f>
        <x:v>4800</x:v>
      </x:c>
      <x:c r="M131" s="18" t="n">
        <x:v>3.8</x:v>
      </x:c>
      <x:c r="N131" t="str">
        <x:v>No</x:v>
      </x:c>
      <x:c r="O131" t="str">
        <x:v>Traveler Success</x:v>
      </x:c>
    </x:row>
    <x:row r="132">
      <x:c r="A132" t="str">
        <x:v>CRB5130</x:v>
      </x:c>
      <x:c r="B132" s="14" t="str">
        <x:v>2026-07-04</x:v>
      </x:c>
      <x:c r="C132" t="str">
        <x:v>Sofia Martinez</x:v>
      </x:c>
      <x:c r="D132" t="str">
        <x:v>u1639</x:v>
      </x:c>
      <x:c r="E132" t="str">
        <x:v>Referral</x:v>
      </x:c>
      <x:c r="F132" t="str">
        <x:v>Varanasi</x:v>
      </x:c>
      <x:c r="G132" t="str">
        <x:v>Warli Painting</x:v>
      </x:c>
      <x:c r="H132" t="n">
        <x:v>6</x:v>
      </x:c>
      <x:c r="I132" s="16" t="n">
        <x:v>2500</x:v>
      </x:c>
      <x:c r="J132" s="16" t="str">
        <x:v>Completed</x:v>
      </x:c>
      <x:c r="K132" s="16" t="n">
        <x:f>H132*I132</x:f>
        <x:v>15000</x:v>
      </x:c>
      <x:c r="L132" s="16" t="n">
        <x:f>IF(J132="Completed",K132*0.80,0)</x:f>
        <x:v>12000</x:v>
      </x:c>
      <x:c r="M132" s="18" t="n">
        <x:v>4.4</x:v>
      </x:c>
      <x:c r="N132" t="str">
        <x:v>No</x:v>
      </x:c>
      <x:c r="O132" t="str">
        <x:v>Revenue / Enterprise Team</x:v>
      </x:c>
    </x:row>
    <x:row r="133">
      <x:c r="A133" t="str">
        <x:v>CRB5131</x:v>
      </x:c>
      <x:c r="B133" s="14" t="str">
        <x:v>2026-07-04</x:v>
      </x:c>
      <x:c r="C133" t="str">
        <x:v>Mark Thompson</x:v>
      </x:c>
      <x:c r="D133" t="str">
        <x:v>u1642</x:v>
      </x:c>
      <x:c r="E133" t="str">
        <x:v>Google Search</x:v>
      </x:c>
      <x:c r="F133" t="str">
        <x:v>Jaipur</x:v>
      </x:c>
      <x:c r="G133" t="str">
        <x:v>Warli Painting</x:v>
      </x:c>
      <x:c r="H133" t="n">
        <x:v>6</x:v>
      </x:c>
      <x:c r="I133" s="16" t="n">
        <x:v>2500</x:v>
      </x:c>
      <x:c r="J133" s="16" t="str">
        <x:v>Completed</x:v>
      </x:c>
      <x:c r="K133" s="16" t="n">
        <x:f>H133*I133</x:f>
        <x:v>15000</x:v>
      </x:c>
      <x:c r="L133" s="16" t="n">
        <x:f>IF(J133="Completed",K133*0.80,0)</x:f>
        <x:v>12000</x:v>
      </x:c>
      <x:c r="M133" s="18" t="n">
        <x:v>4.1</x:v>
      </x:c>
      <x:c r="N133" t="str">
        <x:v>Yes</x:v>
      </x:c>
      <x:c r="O133" t="str">
        <x:v>Customer Success</x:v>
      </x:c>
    </x:row>
    <x:row r="134">
      <x:c r="A134" t="str">
        <x:v>CRB5132</x:v>
      </x:c>
      <x:c r="B134" s="14" t="str">
        <x:v>2026-07-04</x:v>
      </x:c>
      <x:c r="C134" t="str">
        <x:v>Ananya Reddy</x:v>
      </x:c>
      <x:c r="D134" t="str">
        <x:v>u1650</x:v>
      </x:c>
      <x:c r="E134" t="str">
        <x:v>Direct</x:v>
      </x:c>
      <x:c r="F134" t="str">
        <x:v>Khurja</x:v>
      </x:c>
      <x:c r="G134" t="str">
        <x:v>Warli Painting</x:v>
      </x:c>
      <x:c r="H134" t="n">
        <x:v>6</x:v>
      </x:c>
      <x:c r="I134" s="16" t="n">
        <x:v>2200</x:v>
      </x:c>
      <x:c r="J134" s="16" t="str">
        <x:v>Completed</x:v>
      </x:c>
      <x:c r="K134" s="16" t="n">
        <x:f>H134*I134</x:f>
        <x:v>13200</x:v>
      </x:c>
      <x:c r="L134" s="16" t="n">
        <x:f>IF(J134="Completed",K134*0.80,0)</x:f>
        <x:v>10560</x:v>
      </x:c>
      <x:c r="M134" s="18" t="n">
        <x:v>4.3</x:v>
      </x:c>
      <x:c r="N134" t="str">
        <x:v>Yes</x:v>
      </x:c>
      <x:c r="O134" t="str">
        <x:v>Traveler Success</x:v>
      </x:c>
    </x:row>
    <x:row r="135">
      <x:c r="A135" t="str">
        <x:v>CRB5133</x:v>
      </x:c>
      <x:c r="B135" s="14" t="str">
        <x:v>2026-07-04</x:v>
      </x:c>
      <x:c r="C135" t="str">
        <x:v>Priya Sharma</x:v>
      </x:c>
      <x:c r="D135" t="str">
        <x:v>u1653</x:v>
      </x:c>
      <x:c r="E135" t="str">
        <x:v>Instagram</x:v>
      </x:c>
      <x:c r="F135" t="str">
        <x:v>Bangalore</x:v>
      </x:c>
      <x:c r="G135" t="str">
        <x:v>Warli Painting</x:v>
      </x:c>
      <x:c r="H135" t="n">
        <x:v>1</x:v>
      </x:c>
      <x:c r="I135" s="16" t="n">
        <x:v>3500</x:v>
      </x:c>
      <x:c r="J135" s="16" t="str">
        <x:v>Completed</x:v>
      </x:c>
      <x:c r="K135" s="16" t="n">
        <x:f>H135*I135</x:f>
        <x:v>3500</x:v>
      </x:c>
      <x:c r="L135" s="16" t="n">
        <x:f>IF(J135="Completed",K135*0.80,0)</x:f>
        <x:v>2800</x:v>
      </x:c>
      <x:c r="M135" s="18" t="n">
        <x:v>4.3</x:v>
      </x:c>
      <x:c r="N135" t="str">
        <x:v>No</x:v>
      </x:c>
      <x:c r="O135" t="str">
        <x:v>Traveler Success</x:v>
      </x:c>
    </x:row>
    <x:row r="136">
      <x:c r="A136" t="str">
        <x:v>CRB5134</x:v>
      </x:c>
      <x:c r="B136" s="14" t="str">
        <x:v>2026-07-04</x:v>
      </x:c>
      <x:c r="C136" t="str">
        <x:v>Mark Thompson</x:v>
      </x:c>
      <x:c r="D136" t="str">
        <x:v>u1659</x:v>
      </x:c>
      <x:c r="E136" t="str">
        <x:v>Google Search</x:v>
      </x:c>
      <x:c r="F136" t="str">
        <x:v>Varanasi</x:v>
      </x:c>
      <x:c r="G136" t="str">
        <x:v>Blue Pottery</x:v>
      </x:c>
      <x:c r="H136" t="n">
        <x:v>4</x:v>
      </x:c>
      <x:c r="I136" s="16" t="n">
        <x:v>2000</x:v>
      </x:c>
      <x:c r="J136" s="16" t="str">
        <x:v>Completed</x:v>
      </x:c>
      <x:c r="K136" s="16" t="n">
        <x:f>H136*I136</x:f>
        <x:v>8000</x:v>
      </x:c>
      <x:c r="L136" s="16" t="n">
        <x:f>IF(J136="Completed",K136*0.80,0)</x:f>
        <x:v>6400</x:v>
      </x:c>
      <x:c r="M136" s="18" t="n">
        <x:v>4.2</x:v>
      </x:c>
      <x:c r="N136" t="str">
        <x:v>No</x:v>
      </x:c>
      <x:c r="O136" t="str">
        <x:v>Traveler Success</x:v>
      </x:c>
    </x:row>
    <x:row r="137">
      <x:c r="A137" t="str">
        <x:v>CRB5135</x:v>
      </x:c>
      <x:c r="B137" s="14" t="str">
        <x:v>2026-07-04</x:v>
      </x:c>
      <x:c r="C137" t="str">
        <x:v>Rahul Mehta</x:v>
      </x:c>
      <x:c r="D137" t="str">
        <x:v>u1666</x:v>
      </x:c>
      <x:c r="E137" t="str">
        <x:v>Instagram</x:v>
      </x:c>
      <x:c r="F137" t="str">
        <x:v>Jaipur</x:v>
      </x:c>
      <x:c r="G137" t="str">
        <x:v>Weaving</x:v>
      </x:c>
      <x:c r="H137" t="n">
        <x:v>10</x:v>
      </x:c>
      <x:c r="I137" s="16" t="n">
        <x:v>2200</x:v>
      </x:c>
      <x:c r="J137" s="16" t="str">
        <x:v>Completed</x:v>
      </x:c>
      <x:c r="K137" s="16" t="n">
        <x:f>H137*I137</x:f>
        <x:v>22000</x:v>
      </x:c>
      <x:c r="L137" s="16" t="n">
        <x:f>IF(J137="Completed",K137*0.80,0)</x:f>
        <x:v>17600</x:v>
      </x:c>
      <x:c r="M137" s="18" t="n">
        <x:v>4.7</x:v>
      </x:c>
      <x:c r="N137" t="str">
        <x:v>Yes</x:v>
      </x:c>
      <x:c r="O137" t="str">
        <x:v>Traveler Success</x:v>
      </x:c>
    </x:row>
    <x:row r="138">
      <x:c r="A138" t="str">
        <x:v>CRB5136</x:v>
      </x:c>
      <x:c r="B138" s="14" t="str">
        <x:v>2026-07-04</x:v>
      </x:c>
      <x:c r="C138" t="str">
        <x:v>Sofia Martinez</x:v>
      </x:c>
      <x:c r="D138" t="str">
        <x:v>u1669</x:v>
      </x:c>
      <x:c r="E138" t="str">
        <x:v>Direct</x:v>
      </x:c>
      <x:c r="F138" t="str">
        <x:v>Khurja</x:v>
      </x:c>
      <x:c r="G138" t="str">
        <x:v>Warli Painting</x:v>
      </x:c>
      <x:c r="H138" t="n">
        <x:v>1</x:v>
      </x:c>
      <x:c r="I138" s="16" t="n">
        <x:v>1800</x:v>
      </x:c>
      <x:c r="J138" s="16" t="str">
        <x:v>Completed</x:v>
      </x:c>
      <x:c r="K138" s="16" t="n">
        <x:f>H138*I138</x:f>
        <x:v>1800</x:v>
      </x:c>
      <x:c r="L138" s="16" t="n">
        <x:f>IF(J138="Completed",K138*0.80,0)</x:f>
        <x:v>1440</x:v>
      </x:c>
      <x:c r="M138" s="18" t="n">
        <x:v>4.3</x:v>
      </x:c>
      <x:c r="N138" t="str">
        <x:v>No</x:v>
      </x:c>
      <x:c r="O138" t="str">
        <x:v>Revenue / Enterprise Team</x:v>
      </x:c>
    </x:row>
    <x:row r="139">
      <x:c r="A139" t="str">
        <x:v>CRB5137</x:v>
      </x:c>
      <x:c r="B139" s="14" t="str">
        <x:v>2026-07-04</x:v>
      </x:c>
      <x:c r="C139" t="str">
        <x:v>Mark Thompson</x:v>
      </x:c>
      <x:c r="D139" t="str">
        <x:v>u1670</x:v>
      </x:c>
      <x:c r="E139" t="str">
        <x:v>Google Search</x:v>
      </x:c>
      <x:c r="F139" t="str">
        <x:v>Bangalore</x:v>
      </x:c>
      <x:c r="G139" t="str">
        <x:v>Block Printing</x:v>
      </x:c>
      <x:c r="H139" t="n">
        <x:v>4</x:v>
      </x:c>
      <x:c r="I139" s="16" t="n">
        <x:v>3000</x:v>
      </x:c>
      <x:c r="J139" s="16" t="str">
        <x:v>Completed</x:v>
      </x:c>
      <x:c r="K139" s="16" t="n">
        <x:f>H139*I139</x:f>
        <x:v>12000</x:v>
      </x:c>
      <x:c r="L139" s="16" t="n">
        <x:f>IF(J139="Completed",K139*0.80,0)</x:f>
        <x:v>9600</x:v>
      </x:c>
      <x:c r="M139" s="18" t="n">
        <x:v>4.2</x:v>
      </x:c>
      <x:c r="N139" t="str">
        <x:v>No</x:v>
      </x:c>
      <x:c r="O139" t="str">
        <x:v>Revenue / Enterprise Team</x:v>
      </x:c>
    </x:row>
    <x:row r="140">
      <x:c r="A140" t="str">
        <x:v>CRB5138</x:v>
      </x:c>
      <x:c r="B140" s="14" t="str">
        <x:v>2026-07-04</x:v>
      </x:c>
      <x:c r="C140" t="str">
        <x:v>Rahul Mehta</x:v>
      </x:c>
      <x:c r="D140" t="str">
        <x:v>u1671</x:v>
      </x:c>
      <x:c r="E140" t="str">
        <x:v>Google Search</x:v>
      </x:c>
      <x:c r="F140" t="str">
        <x:v>Udaipur</x:v>
      </x:c>
      <x:c r="G140" t="str">
        <x:v>Blue Pottery</x:v>
      </x:c>
      <x:c r="H140" t="n">
        <x:v>2</x:v>
      </x:c>
      <x:c r="I140" s="16" t="n">
        <x:v>2500</x:v>
      </x:c>
      <x:c r="J140" s="16" t="str">
        <x:v>Completed</x:v>
      </x:c>
      <x:c r="K140" s="16" t="n">
        <x:f>H140*I140</x:f>
        <x:v>5000</x:v>
      </x:c>
      <x:c r="L140" s="16" t="n">
        <x:f>IF(J140="Completed",K140*0.80,0)</x:f>
        <x:v>4000</x:v>
      </x:c>
      <x:c r="M140" s="18" t="n">
        <x:v>4.9</x:v>
      </x:c>
      <x:c r="N140" t="str">
        <x:v>No</x:v>
      </x:c>
      <x:c r="O140" t="str">
        <x:v>Revenue / Enterprise Team</x:v>
      </x:c>
    </x:row>
    <x:row r="141">
      <x:c r="A141" t="str">
        <x:v>CRB5139</x:v>
      </x:c>
      <x:c r="B141" s="14" t="str">
        <x:v>2026-07-04</x:v>
      </x:c>
      <x:c r="C141" t="str">
        <x:v>Ananya Reddy</x:v>
      </x:c>
      <x:c r="D141" t="str">
        <x:v>u1676</x:v>
      </x:c>
      <x:c r="E141" t="str">
        <x:v>Direct</x:v>
      </x:c>
      <x:c r="F141" t="str">
        <x:v>Jaipur</x:v>
      </x:c>
      <x:c r="G141" t="str">
        <x:v>Weaving</x:v>
      </x:c>
      <x:c r="H141" t="n">
        <x:v>6</x:v>
      </x:c>
      <x:c r="I141" s="16" t="n">
        <x:v>1500</x:v>
      </x:c>
      <x:c r="J141" s="16" t="str">
        <x:v>Completed</x:v>
      </x:c>
      <x:c r="K141" s="16" t="n">
        <x:f>H141*I141</x:f>
        <x:v>9000</x:v>
      </x:c>
      <x:c r="L141" s="16" t="n">
        <x:f>IF(J141="Completed",K141*0.80,0)</x:f>
        <x:v>7200</x:v>
      </x:c>
      <x:c r="M141" s="18" t="n">
        <x:v>4.2</x:v>
      </x:c>
      <x:c r="N141" t="str">
        <x:v>No</x:v>
      </x:c>
      <x:c r="O141" t="str">
        <x:v>Traveler Success</x:v>
      </x:c>
    </x:row>
    <x:row r="142">
      <x:c r="A142" t="str">
        <x:v>CRB5140</x:v>
      </x:c>
      <x:c r="B142" s="14" t="str">
        <x:v>2026-07-04</x:v>
      </x:c>
      <x:c r="C142" t="str">
        <x:v>Priya Sharma</x:v>
      </x:c>
      <x:c r="D142" t="str">
        <x:v>u1677</x:v>
      </x:c>
      <x:c r="E142" t="str">
        <x:v>Google Search</x:v>
      </x:c>
      <x:c r="F142" t="str">
        <x:v>Udaipur</x:v>
      </x:c>
      <x:c r="G142" t="str">
        <x:v>Pottery</x:v>
      </x:c>
      <x:c r="H142" t="n">
        <x:v>3</x:v>
      </x:c>
      <x:c r="I142" s="16" t="n">
        <x:v>1800</x:v>
      </x:c>
      <x:c r="J142" s="16" t="str">
        <x:v>Completed</x:v>
      </x:c>
      <x:c r="K142" s="16" t="n">
        <x:f>H142*I142</x:f>
        <x:v>5400</x:v>
      </x:c>
      <x:c r="L142" s="16" t="n">
        <x:f>IF(J142="Completed",K142*0.80,0)</x:f>
        <x:v>4320</x:v>
      </x:c>
      <x:c r="M142" s="18" t="n">
        <x:v>4.2</x:v>
      </x:c>
      <x:c r="N142" t="str">
        <x:v>Yes</x:v>
      </x:c>
      <x:c r="O142" t="str">
        <x:v>Traveler Success</x:v>
      </x:c>
    </x:row>
    <x:row r="143">
      <x:c r="A143" t="str">
        <x:v>CRB5141</x:v>
      </x:c>
      <x:c r="B143" s="14" t="str">
        <x:v>2026-07-04</x:v>
      </x:c>
      <x:c r="C143" t="str">
        <x:v>Mark Thompson</x:v>
      </x:c>
      <x:c r="D143" t="str">
        <x:v>u1686</x:v>
      </x:c>
      <x:c r="E143" t="str">
        <x:v>Direct</x:v>
      </x:c>
      <x:c r="F143" t="str">
        <x:v>Varanasi</x:v>
      </x:c>
      <x:c r="G143" t="str">
        <x:v>Pottery</x:v>
      </x:c>
      <x:c r="H143" t="n">
        <x:v>6</x:v>
      </x:c>
      <x:c r="I143" s="16" t="n">
        <x:v>2000</x:v>
      </x:c>
      <x:c r="J143" s="16" t="str">
        <x:v>Completed</x:v>
      </x:c>
      <x:c r="K143" s="16" t="n">
        <x:f>H143*I143</x:f>
        <x:v>12000</x:v>
      </x:c>
      <x:c r="L143" s="16" t="n">
        <x:f>IF(J143="Completed",K143*0.80,0)</x:f>
        <x:v>9600</x:v>
      </x:c>
      <x:c r="M143" s="18" t="n">
        <x:v>4.3</x:v>
      </x:c>
      <x:c r="N143" t="str">
        <x:v>No</x:v>
      </x:c>
      <x:c r="O143" t="str">
        <x:v>Customer Success</x:v>
      </x:c>
    </x:row>
    <x:row r="144">
      <x:c r="A144" t="str">
        <x:v>CRB5142</x:v>
      </x:c>
      <x:c r="B144" s="14" t="str">
        <x:v>2026-07-04</x:v>
      </x:c>
      <x:c r="C144" t="str">
        <x:v>Sofia Martinez</x:v>
      </x:c>
      <x:c r="D144" t="str">
        <x:v>u1700</x:v>
      </x:c>
      <x:c r="E144" t="str">
        <x:v>Travel Blog</x:v>
      </x:c>
      <x:c r="F144" t="str">
        <x:v>Jaipur</x:v>
      </x:c>
      <x:c r="G144" t="str">
        <x:v>Block Printing</x:v>
      </x:c>
      <x:c r="H144" t="n">
        <x:v>4</x:v>
      </x:c>
      <x:c r="I144" s="16" t="n">
        <x:v>3000</x:v>
      </x:c>
      <x:c r="J144" s="16" t="str">
        <x:v>Completed</x:v>
      </x:c>
      <x:c r="K144" s="16" t="n">
        <x:f>H144*I144</x:f>
        <x:v>12000</x:v>
      </x:c>
      <x:c r="L144" s="16" t="n">
        <x:f>IF(J144="Completed",K144*0.80,0)</x:f>
        <x:v>9600</x:v>
      </x:c>
      <x:c r="M144" s="18" t="n">
        <x:v>4.1</x:v>
      </x:c>
      <x:c r="N144" t="str">
        <x:v>No</x:v>
      </x:c>
      <x:c r="O144" t="str">
        <x:v>Revenue / Enterprise Team</x:v>
      </x:c>
    </x:row>
    <x:row r="145">
      <x:c r="A145" t="str">
        <x:v>CRB5143</x:v>
      </x:c>
      <x:c r="B145" s="14" t="str">
        <x:v>2026-07-04</x:v>
      </x:c>
      <x:c r="C145" t="str">
        <x:v>Ananya Reddy</x:v>
      </x:c>
      <x:c r="D145" t="str">
        <x:v>u1701</x:v>
      </x:c>
      <x:c r="E145" t="str">
        <x:v>Direct</x:v>
      </x:c>
      <x:c r="F145" t="str">
        <x:v>Bangalore</x:v>
      </x:c>
      <x:c r="G145" t="str">
        <x:v>Blue Pottery</x:v>
      </x:c>
      <x:c r="H145" t="n">
        <x:v>3</x:v>
      </x:c>
      <x:c r="I145" s="16" t="n">
        <x:v>3000</x:v>
      </x:c>
      <x:c r="J145" s="16" t="str">
        <x:v>Completed</x:v>
      </x:c>
      <x:c r="K145" s="16" t="n">
        <x:f>H145*I145</x:f>
        <x:v>9000</x:v>
      </x:c>
      <x:c r="L145" s="16" t="n">
        <x:f>IF(J145="Completed",K145*0.80,0)</x:f>
        <x:v>7200</x:v>
      </x:c>
      <x:c r="M145" s="18" t="n">
        <x:v>4.7</x:v>
      </x:c>
      <x:c r="N145" t="str">
        <x:v>No</x:v>
      </x:c>
      <x:c r="O145" t="str">
        <x:v>Customer Success</x:v>
      </x:c>
    </x:row>
    <x:row r="146">
      <x:c r="A146" t="str">
        <x:v>CRB5144</x:v>
      </x:c>
      <x:c r="B146" s="14" t="str">
        <x:v>2026-07-04</x:v>
      </x:c>
      <x:c r="C146" t="str">
        <x:v>Mark Thompson</x:v>
      </x:c>
      <x:c r="D146" t="str">
        <x:v>u1706</x:v>
      </x:c>
      <x:c r="E146" t="str">
        <x:v>Google Search</x:v>
      </x:c>
      <x:c r="F146" t="str">
        <x:v>Khurja</x:v>
      </x:c>
      <x:c r="G146" t="str">
        <x:v>Warli Painting</x:v>
      </x:c>
      <x:c r="H146" t="n">
        <x:v>6</x:v>
      </x:c>
      <x:c r="I146" s="16" t="n">
        <x:v>3500</x:v>
      </x:c>
      <x:c r="J146" s="16" t="str">
        <x:v>Completed</x:v>
      </x:c>
      <x:c r="K146" s="16" t="n">
        <x:f>H146*I146</x:f>
        <x:v>21000</x:v>
      </x:c>
      <x:c r="L146" s="16" t="n">
        <x:f>IF(J146="Completed",K146*0.80,0)</x:f>
        <x:v>16800</x:v>
      </x:c>
      <x:c r="M146" s="18" t="n">
        <x:v>4.4</x:v>
      </x:c>
      <x:c r="N146" t="str">
        <x:v>No</x:v>
      </x:c>
      <x:c r="O146" t="str">
        <x:v>Traveler Success</x:v>
      </x:c>
    </x:row>
    <x:row r="147">
      <x:c r="A147" t="str">
        <x:v>CRB5145</x:v>
      </x:c>
      <x:c r="B147" s="14" t="str">
        <x:v>2026-07-04</x:v>
      </x:c>
      <x:c r="C147" t="str">
        <x:v>Ananya Reddy</x:v>
      </x:c>
      <x:c r="D147" t="str">
        <x:v>u1709</x:v>
      </x:c>
      <x:c r="E147" t="str">
        <x:v>Referral</x:v>
      </x:c>
      <x:c r="F147" t="str">
        <x:v>Udaipur</x:v>
      </x:c>
      <x:c r="G147" t="str">
        <x:v>Warli Painting</x:v>
      </x:c>
      <x:c r="H147" t="n">
        <x:v>10</x:v>
      </x:c>
      <x:c r="I147" s="16" t="n">
        <x:v>2000</x:v>
      </x:c>
      <x:c r="J147" s="16" t="str">
        <x:v>Completed</x:v>
      </x:c>
      <x:c r="K147" s="16" t="n">
        <x:f>H147*I147</x:f>
        <x:v>20000</x:v>
      </x:c>
      <x:c r="L147" s="16" t="n">
        <x:f>IF(J147="Completed",K147*0.80,0)</x:f>
        <x:v>16000</x:v>
      </x:c>
      <x:c r="M147" s="18" t="n">
        <x:v>4.4</x:v>
      </x:c>
      <x:c r="N147" t="str">
        <x:v>No</x:v>
      </x:c>
      <x:c r="O147" t="str">
        <x:v>Customer Success</x:v>
      </x:c>
    </x:row>
    <x:row r="148">
      <x:c r="A148" t="str">
        <x:v>CRB5146</x:v>
      </x:c>
      <x:c r="B148" s="14" t="str">
        <x:v>2026-07-04</x:v>
      </x:c>
      <x:c r="C148" t="str">
        <x:v>Ananya Reddy</x:v>
      </x:c>
      <x:c r="D148" t="str">
        <x:v>u1721</x:v>
      </x:c>
      <x:c r="E148" t="str">
        <x:v>Google Search</x:v>
      </x:c>
      <x:c r="F148" t="str">
        <x:v>Jaipur</x:v>
      </x:c>
      <x:c r="G148" t="str">
        <x:v>Pottery</x:v>
      </x:c>
      <x:c r="H148" t="n">
        <x:v>12</x:v>
      </x:c>
      <x:c r="I148" s="16" t="n">
        <x:v>2000</x:v>
      </x:c>
      <x:c r="J148" s="16" t="str">
        <x:v>Completed</x:v>
      </x:c>
      <x:c r="K148" s="16" t="n">
        <x:f>H148*I148</x:f>
        <x:v>24000</x:v>
      </x:c>
      <x:c r="L148" s="16" t="n">
        <x:f>IF(J148="Completed",K148*0.80,0)</x:f>
        <x:v>19200</x:v>
      </x:c>
      <x:c r="M148" s="18" t="n">
        <x:v>4.2</x:v>
      </x:c>
      <x:c r="N148" t="str">
        <x:v>Yes</x:v>
      </x:c>
      <x:c r="O148" t="str">
        <x:v>Customer Success</x:v>
      </x:c>
    </x:row>
    <x:row r="149">
      <x:c r="A149" t="str">
        <x:v>CRB5147</x:v>
      </x:c>
      <x:c r="B149" s="14" t="str">
        <x:v>2026-07-04</x:v>
      </x:c>
      <x:c r="C149" t="str">
        <x:v>Mark Thompson</x:v>
      </x:c>
      <x:c r="D149" t="str">
        <x:v>u1724</x:v>
      </x:c>
      <x:c r="E149" t="str">
        <x:v>Travel Blog</x:v>
      </x:c>
      <x:c r="F149" t="str">
        <x:v>Udaipur</x:v>
      </x:c>
      <x:c r="G149" t="str">
        <x:v>Pottery</x:v>
      </x:c>
      <x:c r="H149" t="n">
        <x:v>2</x:v>
      </x:c>
      <x:c r="I149" s="16" t="n">
        <x:v>2500</x:v>
      </x:c>
      <x:c r="J149" s="16" t="str">
        <x:v>Completed</x:v>
      </x:c>
      <x:c r="K149" s="16" t="n">
        <x:f>H149*I149</x:f>
        <x:v>5000</x:v>
      </x:c>
      <x:c r="L149" s="16" t="n">
        <x:f>IF(J149="Completed",K149*0.80,0)</x:f>
        <x:v>4000</x:v>
      </x:c>
      <x:c r="M149" s="18" t="n">
        <x:v>4.3</x:v>
      </x:c>
      <x:c r="N149" t="str">
        <x:v>No</x:v>
      </x:c>
      <x:c r="O149" t="str">
        <x:v>Traveler Success</x:v>
      </x:c>
    </x:row>
    <x:row r="150">
      <x:c r="A150" t="str">
        <x:v>CRB5148</x:v>
      </x:c>
      <x:c r="B150" s="14" t="str">
        <x:v>2026-07-04</x:v>
      </x:c>
      <x:c r="C150" t="str">
        <x:v>Rahul Mehta</x:v>
      </x:c>
      <x:c r="D150" t="str">
        <x:v>u1730</x:v>
      </x:c>
      <x:c r="E150" t="str">
        <x:v>Direct</x:v>
      </x:c>
      <x:c r="F150" t="str">
        <x:v>Khurja</x:v>
      </x:c>
      <x:c r="G150" t="str">
        <x:v>Weaving</x:v>
      </x:c>
      <x:c r="H150" t="n">
        <x:v>6</x:v>
      </x:c>
      <x:c r="I150" s="16" t="n">
        <x:v>3500</x:v>
      </x:c>
      <x:c r="J150" s="16" t="str">
        <x:v>Completed</x:v>
      </x:c>
      <x:c r="K150" s="16" t="n">
        <x:f>H150*I150</x:f>
        <x:v>21000</x:v>
      </x:c>
      <x:c r="L150" s="16" t="n">
        <x:f>IF(J150="Completed",K150*0.80,0)</x:f>
        <x:v>16800</x:v>
      </x:c>
      <x:c r="M150" s="18" t="n">
        <x:v>4.6</x:v>
      </x:c>
      <x:c r="N150" t="str">
        <x:v>Yes</x:v>
      </x:c>
      <x:c r="O150" t="str">
        <x:v>Traveler Success</x:v>
      </x:c>
    </x:row>
    <x:row r="151">
      <x:c r="A151" t="str">
        <x:v>CRB5149</x:v>
      </x:c>
      <x:c r="B151" s="14" t="str">
        <x:v>2026-07-04</x:v>
      </x:c>
      <x:c r="C151" t="str">
        <x:v>Ananya Reddy</x:v>
      </x:c>
      <x:c r="D151" t="str">
        <x:v>u1734</x:v>
      </x:c>
      <x:c r="E151" t="str">
        <x:v>Referral</x:v>
      </x:c>
      <x:c r="F151" t="str">
        <x:v>Bangalore</x:v>
      </x:c>
      <x:c r="G151" t="str">
        <x:v>Blue Pottery</x:v>
      </x:c>
      <x:c r="H151" t="n">
        <x:v>12</x:v>
      </x:c>
      <x:c r="I151" s="16" t="n">
        <x:v>2000</x:v>
      </x:c>
      <x:c r="J151" s="16" t="str">
        <x:v>Completed</x:v>
      </x:c>
      <x:c r="K151" s="16" t="n">
        <x:f>H151*I151</x:f>
        <x:v>24000</x:v>
      </x:c>
      <x:c r="L151" s="16" t="n">
        <x:f>IF(J151="Completed",K151*0.80,0)</x:f>
        <x:v>19200</x:v>
      </x:c>
      <x:c r="M151" s="18" t="n">
        <x:v>4.8</x:v>
      </x:c>
      <x:c r="N151" t="str">
        <x:v>Yes</x:v>
      </x:c>
      <x:c r="O151" t="str">
        <x:v>Revenue / Enterprise Team</x:v>
      </x:c>
    </x:row>
    <x:row r="152">
      <x:c r="A152" t="str">
        <x:v>CRB5150</x:v>
      </x:c>
      <x:c r="B152" s="14" t="str">
        <x:v>2026-07-04</x:v>
      </x:c>
      <x:c r="C152" t="str">
        <x:v>Rahul Mehta</x:v>
      </x:c>
      <x:c r="D152" t="str">
        <x:v>u1736</x:v>
      </x:c>
      <x:c r="E152" t="str">
        <x:v>Travel Blog</x:v>
      </x:c>
      <x:c r="F152" t="str">
        <x:v>Jaipur</x:v>
      </x:c>
      <x:c r="G152" t="str">
        <x:v>Warli Painting</x:v>
      </x:c>
      <x:c r="H152" t="n">
        <x:v>6</x:v>
      </x:c>
      <x:c r="I152" s="16" t="n">
        <x:v>3500</x:v>
      </x:c>
      <x:c r="J152" s="16" t="str">
        <x:v>Completed</x:v>
      </x:c>
      <x:c r="K152" s="16" t="n">
        <x:f>H152*I152</x:f>
        <x:v>21000</x:v>
      </x:c>
      <x:c r="L152" s="16" t="n">
        <x:f>IF(J152="Completed",K152*0.80,0)</x:f>
        <x:v>16800</x:v>
      </x:c>
      <x:c r="M152" s="18" t="n">
        <x:v>3.9</x:v>
      </x:c>
      <x:c r="N152" t="str">
        <x:v>No</x:v>
      </x:c>
      <x:c r="O152" t="str">
        <x:v>Traveler Success</x:v>
      </x:c>
    </x:row>
    <x:row r="153">
      <x:c r="A153" t="str">
        <x:v>CRB5151</x:v>
      </x:c>
      <x:c r="B153" s="14" t="str">
        <x:v>2026-07-04</x:v>
      </x:c>
      <x:c r="C153" t="str">
        <x:v>Rahul Mehta</x:v>
      </x:c>
      <x:c r="D153" t="str">
        <x:v>u1739</x:v>
      </x:c>
      <x:c r="E153" t="str">
        <x:v>Instagram</x:v>
      </x:c>
      <x:c r="F153" t="str">
        <x:v>Khurja</x:v>
      </x:c>
      <x:c r="G153" t="str">
        <x:v>Pottery</x:v>
      </x:c>
      <x:c r="H153" t="n">
        <x:v>2</x:v>
      </x:c>
      <x:c r="I153" s="16" t="n">
        <x:v>1500</x:v>
      </x:c>
      <x:c r="J153" s="16" t="str">
        <x:v>Completed</x:v>
      </x:c>
      <x:c r="K153" s="16" t="n">
        <x:f>H153*I153</x:f>
        <x:v>3000</x:v>
      </x:c>
      <x:c r="L153" s="16" t="n">
        <x:f>IF(J153="Completed",K153*0.80,0)</x:f>
        <x:v>2400</x:v>
      </x:c>
      <x:c r="M153" s="18" t="n">
        <x:v>4.6</x:v>
      </x:c>
      <x:c r="N153" t="str">
        <x:v>No</x:v>
      </x:c>
      <x:c r="O153" t="str">
        <x:v>Traveler Success</x:v>
      </x:c>
    </x:row>
    <x:row r="154">
      <x:c r="A154" t="str">
        <x:v>CRB5152</x:v>
      </x:c>
      <x:c r="B154" s="14" t="str">
        <x:v>2026-07-04</x:v>
      </x:c>
      <x:c r="C154" t="str">
        <x:v>Mark Thompson</x:v>
      </x:c>
      <x:c r="D154" t="str">
        <x:v>u1741</x:v>
      </x:c>
      <x:c r="E154" t="str">
        <x:v>Travel Blog</x:v>
      </x:c>
      <x:c r="F154" t="str">
        <x:v>Jaipur</x:v>
      </x:c>
      <x:c r="G154" t="str">
        <x:v>Blue Pottery</x:v>
      </x:c>
      <x:c r="H154" t="n">
        <x:v>10</x:v>
      </x:c>
      <x:c r="I154" s="16" t="n">
        <x:v>3500</x:v>
      </x:c>
      <x:c r="J154" s="16" t="str">
        <x:v>Completed</x:v>
      </x:c>
      <x:c r="K154" s="16" t="n">
        <x:f>H154*I154</x:f>
        <x:v>35000</x:v>
      </x:c>
      <x:c r="L154" s="16" t="n">
        <x:f>IF(J154="Completed",K154*0.80,0)</x:f>
        <x:v>28000</x:v>
      </x:c>
      <x:c r="M154" s="18" t="n">
        <x:v>4.8</x:v>
      </x:c>
      <x:c r="N154" t="str">
        <x:v>Yes</x:v>
      </x:c>
      <x:c r="O154" t="str">
        <x:v>Revenue / Enterprise Team</x:v>
      </x:c>
    </x:row>
    <x:row r="155">
      <x:c r="A155" t="str">
        <x:v>CRB5153</x:v>
      </x:c>
      <x:c r="B155" s="14" t="str">
        <x:v>2026-07-04</x:v>
      </x:c>
      <x:c r="C155" t="str">
        <x:v>Sofia Martinez</x:v>
      </x:c>
      <x:c r="D155" t="str">
        <x:v>u1743</x:v>
      </x:c>
      <x:c r="E155" t="str">
        <x:v>Instagram</x:v>
      </x:c>
      <x:c r="F155" t="str">
        <x:v>Jaipur</x:v>
      </x:c>
      <x:c r="G155" t="str">
        <x:v>Pottery</x:v>
      </x:c>
      <x:c r="H155" t="n">
        <x:v>3</x:v>
      </x:c>
      <x:c r="I155" s="16" t="n">
        <x:v>2500</x:v>
      </x:c>
      <x:c r="J155" s="16" t="str">
        <x:v>Completed</x:v>
      </x:c>
      <x:c r="K155" s="16" t="n">
        <x:f>H155*I155</x:f>
        <x:v>7500</x:v>
      </x:c>
      <x:c r="L155" s="16" t="n">
        <x:f>IF(J155="Completed",K155*0.80,0)</x:f>
        <x:v>6000</x:v>
      </x:c>
      <x:c r="M155" s="18" t="n">
        <x:v>4.7</x:v>
      </x:c>
      <x:c r="N155" t="str">
        <x:v>Yes</x:v>
      </x:c>
      <x:c r="O155" t="str">
        <x:v>Revenue / Enterprise Team</x:v>
      </x:c>
    </x:row>
    <x:row r="156">
      <x:c r="A156" t="str">
        <x:v>CRB5154</x:v>
      </x:c>
      <x:c r="B156" s="14" t="str">
        <x:v>2026-07-04</x:v>
      </x:c>
      <x:c r="C156" t="str">
        <x:v>Rahul Mehta</x:v>
      </x:c>
      <x:c r="D156" t="str">
        <x:v>u1754</x:v>
      </x:c>
      <x:c r="E156" t="str">
        <x:v>Google Search</x:v>
      </x:c>
      <x:c r="F156" t="str">
        <x:v>Jaipur</x:v>
      </x:c>
      <x:c r="G156" t="str">
        <x:v>Block Printing</x:v>
      </x:c>
      <x:c r="H156" t="n">
        <x:v>3</x:v>
      </x:c>
      <x:c r="I156" s="16" t="n">
        <x:v>1800</x:v>
      </x:c>
      <x:c r="J156" s="16" t="str">
        <x:v>Completed</x:v>
      </x:c>
      <x:c r="K156" s="16" t="n">
        <x:f>H156*I156</x:f>
        <x:v>5400</x:v>
      </x:c>
      <x:c r="L156" s="16" t="n">
        <x:f>IF(J156="Completed",K156*0.80,0)</x:f>
        <x:v>4320</x:v>
      </x:c>
      <x:c r="M156" s="18" t="n">
        <x:v>4.5</x:v>
      </x:c>
      <x:c r="N156" t="str">
        <x:v>No</x:v>
      </x:c>
      <x:c r="O156" t="str">
        <x:v>Revenue / Enterprise Team</x:v>
      </x:c>
    </x:row>
    <x:row r="157">
      <x:c r="A157" t="str">
        <x:v>CRB5155</x:v>
      </x:c>
      <x:c r="B157" s="14" t="str">
        <x:v>2026-07-04</x:v>
      </x:c>
      <x:c r="C157" t="str">
        <x:v>Priya Sharma</x:v>
      </x:c>
      <x:c r="D157" t="str">
        <x:v>u1758</x:v>
      </x:c>
      <x:c r="E157" t="str">
        <x:v>Travel Blog</x:v>
      </x:c>
      <x:c r="F157" t="str">
        <x:v>Udaipur</x:v>
      </x:c>
      <x:c r="G157" t="str">
        <x:v>Block Printing</x:v>
      </x:c>
      <x:c r="H157" t="n">
        <x:v>1</x:v>
      </x:c>
      <x:c r="I157" s="16" t="n">
        <x:v>3000</x:v>
      </x:c>
      <x:c r="J157" s="16" t="str">
        <x:v>Completed</x:v>
      </x:c>
      <x:c r="K157" s="16" t="n">
        <x:f>H157*I157</x:f>
        <x:v>3000</x:v>
      </x:c>
      <x:c r="L157" s="16" t="n">
        <x:f>IF(J157="Completed",K157*0.80,0)</x:f>
        <x:v>2400</x:v>
      </x:c>
      <x:c r="M157" s="18" t="n">
        <x:v>4.2</x:v>
      </x:c>
      <x:c r="N157" t="str">
        <x:v>No</x:v>
      </x:c>
      <x:c r="O157" t="str">
        <x:v>Revenue / Enterprise Team</x:v>
      </x:c>
    </x:row>
    <x:row r="158">
      <x:c r="A158" t="str">
        <x:v>CRB5156</x:v>
      </x:c>
      <x:c r="B158" s="14" t="str">
        <x:v>2026-07-04</x:v>
      </x:c>
      <x:c r="C158" t="str">
        <x:v>Sofia Martinez</x:v>
      </x:c>
      <x:c r="D158" t="str">
        <x:v>u1759</x:v>
      </x:c>
      <x:c r="E158" t="str">
        <x:v>Direct</x:v>
      </x:c>
      <x:c r="F158" t="str">
        <x:v>Khurja</x:v>
      </x:c>
      <x:c r="G158" t="str">
        <x:v>Weaving</x:v>
      </x:c>
      <x:c r="H158" t="n">
        <x:v>10</x:v>
      </x:c>
      <x:c r="I158" s="16" t="n">
        <x:v>2200</x:v>
      </x:c>
      <x:c r="J158" s="16" t="str">
        <x:v>Completed</x:v>
      </x:c>
      <x:c r="K158" s="16" t="n">
        <x:f>H158*I158</x:f>
        <x:v>22000</x:v>
      </x:c>
      <x:c r="L158" s="16" t="n">
        <x:f>IF(J158="Completed",K158*0.80,0)</x:f>
        <x:v>17600</x:v>
      </x:c>
      <x:c r="M158" s="18" t="n">
        <x:v>3.9</x:v>
      </x:c>
      <x:c r="N158" t="str">
        <x:v>No</x:v>
      </x:c>
      <x:c r="O158" t="str">
        <x:v>Customer Success</x:v>
      </x:c>
    </x:row>
    <x:row r="159">
      <x:c r="A159" t="str">
        <x:v>CRB5157</x:v>
      </x:c>
      <x:c r="B159" s="14" t="str">
        <x:v>2026-07-04</x:v>
      </x:c>
      <x:c r="C159" t="str">
        <x:v>Priya Sharma</x:v>
      </x:c>
      <x:c r="D159" t="str">
        <x:v>u1762</x:v>
      </x:c>
      <x:c r="E159" t="str">
        <x:v>Travel Blog</x:v>
      </x:c>
      <x:c r="F159" t="str">
        <x:v>Khurja</x:v>
      </x:c>
      <x:c r="G159" t="str">
        <x:v>Pottery</x:v>
      </x:c>
      <x:c r="H159" t="n">
        <x:v>3</x:v>
      </x:c>
      <x:c r="I159" s="16" t="n">
        <x:v>2500</x:v>
      </x:c>
      <x:c r="J159" s="16" t="str">
        <x:v>Completed</x:v>
      </x:c>
      <x:c r="K159" s="16" t="n">
        <x:f>H159*I159</x:f>
        <x:v>7500</x:v>
      </x:c>
      <x:c r="L159" s="16" t="n">
        <x:f>IF(J159="Completed",K159*0.80,0)</x:f>
        <x:v>6000</x:v>
      </x:c>
      <x:c r="M159" s="18" t="n">
        <x:v>4.1</x:v>
      </x:c>
      <x:c r="N159" t="str">
        <x:v>No</x:v>
      </x:c>
      <x:c r="O159" t="str">
        <x:v>Customer Success</x:v>
      </x:c>
    </x:row>
    <x:row r="160">
      <x:c r="A160" t="str">
        <x:v>CRB5158</x:v>
      </x:c>
      <x:c r="B160" s="14" t="str">
        <x:v>2026-07-04</x:v>
      </x:c>
      <x:c r="C160" t="str">
        <x:v>Ananya Reddy</x:v>
      </x:c>
      <x:c r="D160" t="str">
        <x:v>u1770</x:v>
      </x:c>
      <x:c r="E160" t="str">
        <x:v>Referral</x:v>
      </x:c>
      <x:c r="F160" t="str">
        <x:v>Udaipur</x:v>
      </x:c>
      <x:c r="G160" t="str">
        <x:v>Blue Pottery</x:v>
      </x:c>
      <x:c r="H160" t="n">
        <x:v>3</x:v>
      </x:c>
      <x:c r="I160" s="16" t="n">
        <x:v>2500</x:v>
      </x:c>
      <x:c r="J160" s="16" t="str">
        <x:v>Completed</x:v>
      </x:c>
      <x:c r="K160" s="16" t="n">
        <x:f>H160*I160</x:f>
        <x:v>7500</x:v>
      </x:c>
      <x:c r="L160" s="16" t="n">
        <x:f>IF(J160="Completed",K160*0.80,0)</x:f>
        <x:v>6000</x:v>
      </x:c>
      <x:c r="M160" s="18" t="n">
        <x:v>4.4</x:v>
      </x:c>
      <x:c r="N160" t="str">
        <x:v>Yes</x:v>
      </x:c>
      <x:c r="O160" t="str">
        <x:v>Customer Success</x:v>
      </x:c>
    </x:row>
    <x:row r="161">
      <x:c r="A161" t="str">
        <x:v>CRB5159</x:v>
      </x:c>
      <x:c r="B161" s="14" t="str">
        <x:v>2026-07-04</x:v>
      </x:c>
      <x:c r="C161" t="str">
        <x:v>Mark Thompson</x:v>
      </x:c>
      <x:c r="D161" t="str">
        <x:v>u1771</x:v>
      </x:c>
      <x:c r="E161" t="str">
        <x:v>Direct</x:v>
      </x:c>
      <x:c r="F161" t="str">
        <x:v>Bangalore</x:v>
      </x:c>
      <x:c r="G161" t="str">
        <x:v>Block Printing</x:v>
      </x:c>
      <x:c r="H161" t="n">
        <x:v>4</x:v>
      </x:c>
      <x:c r="I161" s="16" t="n">
        <x:v>1500</x:v>
      </x:c>
      <x:c r="J161" s="16" t="str">
        <x:v>Completed</x:v>
      </x:c>
      <x:c r="K161" s="16" t="n">
        <x:f>H161*I161</x:f>
        <x:v>6000</x:v>
      </x:c>
      <x:c r="L161" s="16" t="n">
        <x:f>IF(J161="Completed",K161*0.80,0)</x:f>
        <x:v>4800</x:v>
      </x:c>
      <x:c r="M161" s="18" t="n">
        <x:v>3.9</x:v>
      </x:c>
      <x:c r="N161" t="str">
        <x:v>No</x:v>
      </x:c>
      <x:c r="O161" t="str">
        <x:v>Traveler Success</x:v>
      </x:c>
    </x:row>
    <x:row r="162">
      <x:c r="A162" t="str">
        <x:v>CRB5160</x:v>
      </x:c>
      <x:c r="B162" s="14" t="str">
        <x:v>2026-07-04</x:v>
      </x:c>
      <x:c r="C162" t="str">
        <x:v>Ananya Reddy</x:v>
      </x:c>
      <x:c r="D162" t="str">
        <x:v>u1782</x:v>
      </x:c>
      <x:c r="E162" t="str">
        <x:v>Direct</x:v>
      </x:c>
      <x:c r="F162" t="str">
        <x:v>Varanasi</x:v>
      </x:c>
      <x:c r="G162" t="str">
        <x:v>Blue Pottery</x:v>
      </x:c>
      <x:c r="H162" t="n">
        <x:v>3</x:v>
      </x:c>
      <x:c r="I162" s="16" t="n">
        <x:v>3500</x:v>
      </x:c>
      <x:c r="J162" s="16" t="str">
        <x:v>Completed</x:v>
      </x:c>
      <x:c r="K162" s="16" t="n">
        <x:f>H162*I162</x:f>
        <x:v>10500</x:v>
      </x:c>
      <x:c r="L162" s="16" t="n">
        <x:f>IF(J162="Completed",K162*0.80,0)</x:f>
        <x:v>8400</x:v>
      </x:c>
      <x:c r="M162" s="18" t="n">
        <x:v>4.9</x:v>
      </x:c>
      <x:c r="N162" t="str">
        <x:v>No</x:v>
      </x:c>
      <x:c r="O162" t="str">
        <x:v>Traveler Success</x:v>
      </x:c>
    </x:row>
    <x:row r="163">
      <x:c r="A163" t="str">
        <x:v>CRB5161</x:v>
      </x:c>
      <x:c r="B163" s="14" t="str">
        <x:v>2026-07-04</x:v>
      </x:c>
      <x:c r="C163" t="str">
        <x:v>Mark Thompson</x:v>
      </x:c>
      <x:c r="D163" t="str">
        <x:v>u1784</x:v>
      </x:c>
      <x:c r="E163" t="str">
        <x:v>Instagram</x:v>
      </x:c>
      <x:c r="F163" t="str">
        <x:v>Khurja</x:v>
      </x:c>
      <x:c r="G163" t="str">
        <x:v>Weaving</x:v>
      </x:c>
      <x:c r="H163" t="n">
        <x:v>6</x:v>
      </x:c>
      <x:c r="I163" s="16" t="n">
        <x:v>2200</x:v>
      </x:c>
      <x:c r="J163" s="16" t="str">
        <x:v>No-show</x:v>
      </x:c>
      <x:c r="K163" s="16" t="n">
        <x:f>H163*I163</x:f>
        <x:v>13200</x:v>
      </x:c>
      <x:c r="L163" s="16" t="n">
        <x:f>IF(J163="Completed",K163*0.80,0)</x:f>
        <x:v>0</x:v>
      </x:c>
      <x:c r="M163" s="18" t="str"/>
      <x:c r="N163" t="str">
        <x:v>No</x:v>
      </x:c>
      <x:c r="O163" t="str">
        <x:v>Revenue / Enterprise Team</x:v>
      </x:c>
    </x:row>
    <x:row r="164">
      <x:c r="A164" t="str">
        <x:v>CRB5162</x:v>
      </x:c>
      <x:c r="B164" s="14" t="str">
        <x:v>2026-07-04</x:v>
      </x:c>
      <x:c r="C164" t="str">
        <x:v>Sofia Martinez</x:v>
      </x:c>
      <x:c r="D164" t="str">
        <x:v>u1789</x:v>
      </x:c>
      <x:c r="E164" t="str">
        <x:v>Referral</x:v>
      </x:c>
      <x:c r="F164" t="str">
        <x:v>Khurja</x:v>
      </x:c>
      <x:c r="G164" t="str">
        <x:v>Blue Pottery</x:v>
      </x:c>
      <x:c r="H164" t="n">
        <x:v>1</x:v>
      </x:c>
      <x:c r="I164" s="16" t="n">
        <x:v>2200</x:v>
      </x:c>
      <x:c r="J164" s="16" t="str">
        <x:v>Completed</x:v>
      </x:c>
      <x:c r="K164" s="16" t="n">
        <x:f>H164*I164</x:f>
        <x:v>2200</x:v>
      </x:c>
      <x:c r="L164" s="16" t="n">
        <x:f>IF(J164="Completed",K164*0.80,0)</x:f>
        <x:v>1760</x:v>
      </x:c>
      <x:c r="M164" s="18" t="n">
        <x:v>4.1</x:v>
      </x:c>
      <x:c r="N164" t="str">
        <x:v>No</x:v>
      </x:c>
      <x:c r="O164" t="str">
        <x:v>Revenue / Enterprise Team</x:v>
      </x:c>
    </x:row>
    <x:row r="165">
      <x:c r="A165" t="str">
        <x:v>CRB5163</x:v>
      </x:c>
      <x:c r="B165" s="14" t="str">
        <x:v>2026-07-04</x:v>
      </x:c>
      <x:c r="C165" t="str">
        <x:v>Ananya Reddy</x:v>
      </x:c>
      <x:c r="D165" t="str">
        <x:v>u1809</x:v>
      </x:c>
      <x:c r="E165" t="str">
        <x:v>Google Search</x:v>
      </x:c>
      <x:c r="F165" t="str">
        <x:v>Khurja</x:v>
      </x:c>
      <x:c r="G165" t="str">
        <x:v>Pottery</x:v>
      </x:c>
      <x:c r="H165" t="n">
        <x:v>12</x:v>
      </x:c>
      <x:c r="I165" s="16" t="n">
        <x:v>2000</x:v>
      </x:c>
      <x:c r="J165" s="16" t="str">
        <x:v>Completed</x:v>
      </x:c>
      <x:c r="K165" s="16" t="n">
        <x:f>H165*I165</x:f>
        <x:v>24000</x:v>
      </x:c>
      <x:c r="L165" s="16" t="n">
        <x:f>IF(J165="Completed",K165*0.80,0)</x:f>
        <x:v>19200</x:v>
      </x:c>
      <x:c r="M165" s="18" t="n">
        <x:v>4</x:v>
      </x:c>
      <x:c r="N165" t="str">
        <x:v>Yes</x:v>
      </x:c>
      <x:c r="O165" t="str">
        <x:v>Revenue / Enterprise Team</x:v>
      </x:c>
    </x:row>
    <x:row r="166">
      <x:c r="A166" t="str">
        <x:v>CRB5164</x:v>
      </x:c>
      <x:c r="B166" s="14" t="str">
        <x:v>2026-07-04</x:v>
      </x:c>
      <x:c r="C166" t="str">
        <x:v>Priya Sharma</x:v>
      </x:c>
      <x:c r="D166" t="str">
        <x:v>u1822</x:v>
      </x:c>
      <x:c r="E166" t="str">
        <x:v>Referral</x:v>
      </x:c>
      <x:c r="F166" t="str">
        <x:v>Varanasi</x:v>
      </x:c>
      <x:c r="G166" t="str">
        <x:v>Warli Painting</x:v>
      </x:c>
      <x:c r="H166" t="n">
        <x:v>1</x:v>
      </x:c>
      <x:c r="I166" s="16" t="n">
        <x:v>1500</x:v>
      </x:c>
      <x:c r="J166" s="16" t="str">
        <x:v>Completed</x:v>
      </x:c>
      <x:c r="K166" s="16" t="n">
        <x:f>H166*I166</x:f>
        <x:v>1500</x:v>
      </x:c>
      <x:c r="L166" s="16" t="n">
        <x:f>IF(J166="Completed",K166*0.80,0)</x:f>
        <x:v>1200</x:v>
      </x:c>
      <x:c r="M166" s="18" t="n">
        <x:v>4.4</x:v>
      </x:c>
      <x:c r="N166" t="str">
        <x:v>No</x:v>
      </x:c>
      <x:c r="O166" t="str">
        <x:v>Revenue / Enterprise Team</x:v>
      </x:c>
    </x:row>
    <x:row r="167">
      <x:c r="A167" t="str">
        <x:v>CRB5165</x:v>
      </x:c>
      <x:c r="B167" s="14" t="str">
        <x:v>2026-07-04</x:v>
      </x:c>
      <x:c r="C167" t="str">
        <x:v>Mark Thompson</x:v>
      </x:c>
      <x:c r="D167" t="str">
        <x:v>u1824</x:v>
      </x:c>
      <x:c r="E167" t="str">
        <x:v>Direct</x:v>
      </x:c>
      <x:c r="F167" t="str">
        <x:v>Bangalore</x:v>
      </x:c>
      <x:c r="G167" t="str">
        <x:v>Warli Painting</x:v>
      </x:c>
      <x:c r="H167" t="n">
        <x:v>12</x:v>
      </x:c>
      <x:c r="I167" s="16" t="n">
        <x:v>2200</x:v>
      </x:c>
      <x:c r="J167" s="16" t="str">
        <x:v>Completed</x:v>
      </x:c>
      <x:c r="K167" s="16" t="n">
        <x:f>H167*I167</x:f>
        <x:v>26400</x:v>
      </x:c>
      <x:c r="L167" s="16" t="n">
        <x:f>IF(J167="Completed",K167*0.80,0)</x:f>
        <x:v>21120</x:v>
      </x:c>
      <x:c r="M167" s="18" t="n">
        <x:v>4.1</x:v>
      </x:c>
      <x:c r="N167" t="str">
        <x:v>No</x:v>
      </x:c>
      <x:c r="O167" t="str">
        <x:v>Traveler Success</x:v>
      </x:c>
    </x:row>
    <x:row r="168">
      <x:c r="A168" t="str">
        <x:v>CRB5166</x:v>
      </x:c>
      <x:c r="B168" s="14" t="str">
        <x:v>2026-07-04</x:v>
      </x:c>
      <x:c r="C168" t="str">
        <x:v>Mark Thompson</x:v>
      </x:c>
      <x:c r="D168" t="str">
        <x:v>u1827</x:v>
      </x:c>
      <x:c r="E168" t="str">
        <x:v>Google Search</x:v>
      </x:c>
      <x:c r="F168" t="str">
        <x:v>Jaipur</x:v>
      </x:c>
      <x:c r="G168" t="str">
        <x:v>Pottery</x:v>
      </x:c>
      <x:c r="H168" t="n">
        <x:v>4</x:v>
      </x:c>
      <x:c r="I168" s="16" t="n">
        <x:v>2500</x:v>
      </x:c>
      <x:c r="J168" s="16" t="str">
        <x:v>Completed</x:v>
      </x:c>
      <x:c r="K168" s="16" t="n">
        <x:f>H168*I168</x:f>
        <x:v>10000</x:v>
      </x:c>
      <x:c r="L168" s="16" t="n">
        <x:f>IF(J168="Completed",K168*0.80,0)</x:f>
        <x:v>8000</x:v>
      </x:c>
      <x:c r="M168" s="18" t="n">
        <x:v>3.9</x:v>
      </x:c>
      <x:c r="N168" t="str">
        <x:v>No</x:v>
      </x:c>
      <x:c r="O168" t="str">
        <x:v>Customer Success</x:v>
      </x:c>
    </x:row>
    <x:row r="169">
      <x:c r="A169" t="str">
        <x:v>CRB5167</x:v>
      </x:c>
      <x:c r="B169" s="14" t="str">
        <x:v>2026-07-04</x:v>
      </x:c>
      <x:c r="C169" t="str">
        <x:v>Priya Sharma</x:v>
      </x:c>
      <x:c r="D169" t="str">
        <x:v>u1834</x:v>
      </x:c>
      <x:c r="E169" t="str">
        <x:v>Direct</x:v>
      </x:c>
      <x:c r="F169" t="str">
        <x:v>Khurja</x:v>
      </x:c>
      <x:c r="G169" t="str">
        <x:v>Warli Painting</x:v>
      </x:c>
      <x:c r="H169" t="n">
        <x:v>4</x:v>
      </x:c>
      <x:c r="I169" s="16" t="n">
        <x:v>3000</x:v>
      </x:c>
      <x:c r="J169" s="16" t="str">
        <x:v>Completed</x:v>
      </x:c>
      <x:c r="K169" s="16" t="n">
        <x:f>H169*I169</x:f>
        <x:v>12000</x:v>
      </x:c>
      <x:c r="L169" s="16" t="n">
        <x:f>IF(J169="Completed",K169*0.80,0)</x:f>
        <x:v>9600</x:v>
      </x:c>
      <x:c r="M169" s="18" t="n">
        <x:v>4.1</x:v>
      </x:c>
      <x:c r="N169" t="str">
        <x:v>No</x:v>
      </x:c>
      <x:c r="O169" t="str">
        <x:v>Traveler Success</x:v>
      </x:c>
    </x:row>
    <x:row r="170">
      <x:c r="A170" t="str">
        <x:v>CRB5168</x:v>
      </x:c>
      <x:c r="B170" s="14" t="str">
        <x:v>2026-07-04</x:v>
      </x:c>
      <x:c r="C170" t="str">
        <x:v>Priya Sharma</x:v>
      </x:c>
      <x:c r="D170" t="str">
        <x:v>u1844</x:v>
      </x:c>
      <x:c r="E170" t="str">
        <x:v>Google Search</x:v>
      </x:c>
      <x:c r="F170" t="str">
        <x:v>Varanasi</x:v>
      </x:c>
      <x:c r="G170" t="str">
        <x:v>Pottery</x:v>
      </x:c>
      <x:c r="H170" t="n">
        <x:v>12</x:v>
      </x:c>
      <x:c r="I170" s="16" t="n">
        <x:v>3000</x:v>
      </x:c>
      <x:c r="J170" s="16" t="str">
        <x:v>Completed</x:v>
      </x:c>
      <x:c r="K170" s="16" t="n">
        <x:f>H170*I170</x:f>
        <x:v>36000</x:v>
      </x:c>
      <x:c r="L170" s="16" t="n">
        <x:f>IF(J170="Completed",K170*0.80,0)</x:f>
        <x:v>28800</x:v>
      </x:c>
      <x:c r="M170" s="18" t="n">
        <x:v>4.1</x:v>
      </x:c>
      <x:c r="N170" t="str">
        <x:v>Yes</x:v>
      </x:c>
      <x:c r="O170" t="str">
        <x:v>Traveler Success</x:v>
      </x:c>
    </x:row>
    <x:row r="171">
      <x:c r="A171" t="str">
        <x:v>CRB5169</x:v>
      </x:c>
      <x:c r="B171" s="14" t="str">
        <x:v>2026-07-04</x:v>
      </x:c>
      <x:c r="C171" t="str">
        <x:v>Mark Thompson</x:v>
      </x:c>
      <x:c r="D171" t="str">
        <x:v>u1845</x:v>
      </x:c>
      <x:c r="E171" t="str">
        <x:v>Direct</x:v>
      </x:c>
      <x:c r="F171" t="str">
        <x:v>Varanasi</x:v>
      </x:c>
      <x:c r="G171" t="str">
        <x:v>Warli Painting</x:v>
      </x:c>
      <x:c r="H171" t="n">
        <x:v>4</x:v>
      </x:c>
      <x:c r="I171" s="16" t="n">
        <x:v>2500</x:v>
      </x:c>
      <x:c r="J171" s="16" t="str">
        <x:v>Completed</x:v>
      </x:c>
      <x:c r="K171" s="16" t="n">
        <x:f>H171*I171</x:f>
        <x:v>10000</x:v>
      </x:c>
      <x:c r="L171" s="16" t="n">
        <x:f>IF(J171="Completed",K171*0.80,0)</x:f>
        <x:v>8000</x:v>
      </x:c>
      <x:c r="M171" s="18" t="n">
        <x:v>4.5</x:v>
      </x:c>
      <x:c r="N171" t="str">
        <x:v>No</x:v>
      </x:c>
      <x:c r="O171" t="str">
        <x:v>Traveler Success</x:v>
      </x:c>
    </x:row>
    <x:row r="172">
      <x:c r="A172" t="str">
        <x:v>CRB5170</x:v>
      </x:c>
      <x:c r="B172" s="14" t="str">
        <x:v>2026-07-04</x:v>
      </x:c>
      <x:c r="C172" t="str">
        <x:v>Sofia Martinez</x:v>
      </x:c>
      <x:c r="D172" t="str">
        <x:v>u1846</x:v>
      </x:c>
      <x:c r="E172" t="str">
        <x:v>Google Search</x:v>
      </x:c>
      <x:c r="F172" t="str">
        <x:v>Jaipur</x:v>
      </x:c>
      <x:c r="G172" t="str">
        <x:v>Blue Pottery</x:v>
      </x:c>
      <x:c r="H172" t="n">
        <x:v>2</x:v>
      </x:c>
      <x:c r="I172" s="16" t="n">
        <x:v>2200</x:v>
      </x:c>
      <x:c r="J172" s="16" t="str">
        <x:v>Completed</x:v>
      </x:c>
      <x:c r="K172" s="16" t="n">
        <x:f>H172*I172</x:f>
        <x:v>4400</x:v>
      </x:c>
      <x:c r="L172" s="16" t="n">
        <x:f>IF(J172="Completed",K172*0.80,0)</x:f>
        <x:v>3520</x:v>
      </x:c>
      <x:c r="M172" s="18" t="n">
        <x:v>4.9</x:v>
      </x:c>
      <x:c r="N172" t="str">
        <x:v>No</x:v>
      </x:c>
      <x:c r="O172" t="str">
        <x:v>Customer Success</x:v>
      </x:c>
    </x:row>
    <x:row r="173">
      <x:c r="A173" t="str">
        <x:v>CRB5171</x:v>
      </x:c>
      <x:c r="B173" s="14" t="str">
        <x:v>2026-07-05</x:v>
      </x:c>
      <x:c r="C173" t="str">
        <x:v>Rahul Mehta</x:v>
      </x:c>
      <x:c r="D173" t="str">
        <x:v>u1852</x:v>
      </x:c>
      <x:c r="E173" t="str">
        <x:v>Referral</x:v>
      </x:c>
      <x:c r="F173" t="str">
        <x:v>Varanasi</x:v>
      </x:c>
      <x:c r="G173" t="str">
        <x:v>Blue Pottery</x:v>
      </x:c>
      <x:c r="H173" t="n">
        <x:v>12</x:v>
      </x:c>
      <x:c r="I173" s="16" t="n">
        <x:v>2200</x:v>
      </x:c>
      <x:c r="J173" s="16" t="str">
        <x:v>Completed</x:v>
      </x:c>
      <x:c r="K173" s="16" t="n">
        <x:f>H173*I173</x:f>
        <x:v>26400</x:v>
      </x:c>
      <x:c r="L173" s="16" t="n">
        <x:f>IF(J173="Completed",K173*0.80,0)</x:f>
        <x:v>21120</x:v>
      </x:c>
      <x:c r="M173" s="18" t="n">
        <x:v>4.2</x:v>
      </x:c>
      <x:c r="N173" t="str">
        <x:v>No</x:v>
      </x:c>
      <x:c r="O173" t="str">
        <x:v>Revenue / Enterprise Team</x:v>
      </x:c>
    </x:row>
    <x:row r="174">
      <x:c r="A174" t="str">
        <x:v>CRB5172</x:v>
      </x:c>
      <x:c r="B174" s="14" t="str">
        <x:v>2026-07-05</x:v>
      </x:c>
      <x:c r="C174" t="str">
        <x:v>Rahul Mehta</x:v>
      </x:c>
      <x:c r="D174" t="str">
        <x:v>u1857</x:v>
      </x:c>
      <x:c r="E174" t="str">
        <x:v>Travel Blog</x:v>
      </x:c>
      <x:c r="F174" t="str">
        <x:v>Bangalore</x:v>
      </x:c>
      <x:c r="G174" t="str">
        <x:v>Weaving</x:v>
      </x:c>
      <x:c r="H174" t="n">
        <x:v>2</x:v>
      </x:c>
      <x:c r="I174" s="16" t="n">
        <x:v>3000</x:v>
      </x:c>
      <x:c r="J174" s="16" t="str">
        <x:v>Cancelled</x:v>
      </x:c>
      <x:c r="K174" s="16" t="n">
        <x:f>H174*I174</x:f>
        <x:v>6000</x:v>
      </x:c>
      <x:c r="L174" s="16" t="n">
        <x:f>IF(J174="Completed",K174*0.80,0)</x:f>
        <x:v>0</x:v>
      </x:c>
      <x:c r="M174" s="18" t="str"/>
      <x:c r="N174" t="str">
        <x:v>No</x:v>
      </x:c>
      <x:c r="O174" t="str">
        <x:v>Traveler Success</x:v>
      </x:c>
    </x:row>
    <x:row r="175">
      <x:c r="A175" t="str">
        <x:v>CRB5173</x:v>
      </x:c>
      <x:c r="B175" s="14" t="str">
        <x:v>2026-07-05</x:v>
      </x:c>
      <x:c r="C175" t="str">
        <x:v>Sofia Martinez</x:v>
      </x:c>
      <x:c r="D175" t="str">
        <x:v>u1858</x:v>
      </x:c>
      <x:c r="E175" t="str">
        <x:v>Direct</x:v>
      </x:c>
      <x:c r="F175" t="str">
        <x:v>Bangalore</x:v>
      </x:c>
      <x:c r="G175" t="str">
        <x:v>Blue Pottery</x:v>
      </x:c>
      <x:c r="H175" t="n">
        <x:v>4</x:v>
      </x:c>
      <x:c r="I175" s="16" t="n">
        <x:v>2200</x:v>
      </x:c>
      <x:c r="J175" s="16" t="str">
        <x:v>Completed</x:v>
      </x:c>
      <x:c r="K175" s="16" t="n">
        <x:f>H175*I175</x:f>
        <x:v>8800</x:v>
      </x:c>
      <x:c r="L175" s="16" t="n">
        <x:f>IF(J175="Completed",K175*0.80,0)</x:f>
        <x:v>7040</x:v>
      </x:c>
      <x:c r="M175" s="18" t="n">
        <x:v>4.8</x:v>
      </x:c>
      <x:c r="N175" t="str">
        <x:v>No</x:v>
      </x:c>
      <x:c r="O175" t="str">
        <x:v>Customer Success</x:v>
      </x:c>
    </x:row>
    <x:row r="176">
      <x:c r="A176" t="str">
        <x:v>CRB5174</x:v>
      </x:c>
      <x:c r="B176" s="14" t="str">
        <x:v>2026-07-05</x:v>
      </x:c>
      <x:c r="C176" t="str">
        <x:v>Sofia Martinez</x:v>
      </x:c>
      <x:c r="D176" t="str">
        <x:v>u1870</x:v>
      </x:c>
      <x:c r="E176" t="str">
        <x:v>Google Search</x:v>
      </x:c>
      <x:c r="F176" t="str">
        <x:v>Khurja</x:v>
      </x:c>
      <x:c r="G176" t="str">
        <x:v>Block Printing</x:v>
      </x:c>
      <x:c r="H176" t="n">
        <x:v>12</x:v>
      </x:c>
      <x:c r="I176" s="16" t="n">
        <x:v>3000</x:v>
      </x:c>
      <x:c r="J176" s="16" t="str">
        <x:v>Completed</x:v>
      </x:c>
      <x:c r="K176" s="16" t="n">
        <x:f>H176*I176</x:f>
        <x:v>36000</x:v>
      </x:c>
      <x:c r="L176" s="16" t="n">
        <x:f>IF(J176="Completed",K176*0.80,0)</x:f>
        <x:v>28800</x:v>
      </x:c>
      <x:c r="M176" s="18" t="n">
        <x:v>3.9</x:v>
      </x:c>
      <x:c r="N176" t="str">
        <x:v>No</x:v>
      </x:c>
      <x:c r="O176" t="str">
        <x:v>Revenue / Enterprise Team</x:v>
      </x:c>
    </x:row>
    <x:row r="177">
      <x:c r="A177" t="str">
        <x:v>CRB5175</x:v>
      </x:c>
      <x:c r="B177" s="14" t="str">
        <x:v>2026-07-05</x:v>
      </x:c>
      <x:c r="C177" t="str">
        <x:v>Rahul Mehta</x:v>
      </x:c>
      <x:c r="D177" t="str">
        <x:v>u1872</x:v>
      </x:c>
      <x:c r="E177" t="str">
        <x:v>Direct</x:v>
      </x:c>
      <x:c r="F177" t="str">
        <x:v>Udaipur</x:v>
      </x:c>
      <x:c r="G177" t="str">
        <x:v>Blue Pottery</x:v>
      </x:c>
      <x:c r="H177" t="n">
        <x:v>12</x:v>
      </x:c>
      <x:c r="I177" s="16" t="n">
        <x:v>3500</x:v>
      </x:c>
      <x:c r="J177" s="16" t="str">
        <x:v>Completed</x:v>
      </x:c>
      <x:c r="K177" s="16" t="n">
        <x:f>H177*I177</x:f>
        <x:v>42000</x:v>
      </x:c>
      <x:c r="L177" s="16" t="n">
        <x:f>IF(J177="Completed",K177*0.80,0)</x:f>
        <x:v>33600</x:v>
      </x:c>
      <x:c r="M177" s="18" t="n">
        <x:v>4.1</x:v>
      </x:c>
      <x:c r="N177" t="str">
        <x:v>No</x:v>
      </x:c>
      <x:c r="O177" t="str">
        <x:v>Traveler Success</x:v>
      </x:c>
    </x:row>
    <x:row r="178">
      <x:c r="A178" t="str">
        <x:v>CRB5176</x:v>
      </x:c>
      <x:c r="B178" s="14" t="str">
        <x:v>2026-07-05</x:v>
      </x:c>
      <x:c r="C178" t="str">
        <x:v>Mark Thompson</x:v>
      </x:c>
      <x:c r="D178" t="str">
        <x:v>u1873</x:v>
      </x:c>
      <x:c r="E178" t="str">
        <x:v>Instagram</x:v>
      </x:c>
      <x:c r="F178" t="str">
        <x:v>Bangalore</x:v>
      </x:c>
      <x:c r="G178" t="str">
        <x:v>Blue Pottery</x:v>
      </x:c>
      <x:c r="H178" t="n">
        <x:v>2</x:v>
      </x:c>
      <x:c r="I178" s="16" t="n">
        <x:v>1800</x:v>
      </x:c>
      <x:c r="J178" s="16" t="str">
        <x:v>Completed</x:v>
      </x:c>
      <x:c r="K178" s="16" t="n">
        <x:f>H178*I178</x:f>
        <x:v>3600</x:v>
      </x:c>
      <x:c r="L178" s="16" t="n">
        <x:f>IF(J178="Completed",K178*0.80,0)</x:f>
        <x:v>2880</x:v>
      </x:c>
      <x:c r="M178" s="18" t="n">
        <x:v>4.8</x:v>
      </x:c>
      <x:c r="N178" t="str">
        <x:v>No</x:v>
      </x:c>
      <x:c r="O178" t="str">
        <x:v>Revenue / Enterprise Team</x:v>
      </x:c>
    </x:row>
    <x:row r="179">
      <x:c r="A179" t="str">
        <x:v>CRB5177</x:v>
      </x:c>
      <x:c r="B179" s="14" t="str">
        <x:v>2026-07-05</x:v>
      </x:c>
      <x:c r="C179" t="str">
        <x:v>Mark Thompson</x:v>
      </x:c>
      <x:c r="D179" t="str">
        <x:v>u1875</x:v>
      </x:c>
      <x:c r="E179" t="str">
        <x:v>Instagram</x:v>
      </x:c>
      <x:c r="F179" t="str">
        <x:v>Bangalore</x:v>
      </x:c>
      <x:c r="G179" t="str">
        <x:v>Warli Painting</x:v>
      </x:c>
      <x:c r="H179" t="n">
        <x:v>1</x:v>
      </x:c>
      <x:c r="I179" s="16" t="n">
        <x:v>2200</x:v>
      </x:c>
      <x:c r="J179" s="16" t="str">
        <x:v>Completed</x:v>
      </x:c>
      <x:c r="K179" s="16" t="n">
        <x:f>H179*I179</x:f>
        <x:v>2200</x:v>
      </x:c>
      <x:c r="L179" s="16" t="n">
        <x:f>IF(J179="Completed",K179*0.80,0)</x:f>
        <x:v>1760</x:v>
      </x:c>
      <x:c r="M179" s="18" t="n">
        <x:v>4.5</x:v>
      </x:c>
      <x:c r="N179" t="str">
        <x:v>No</x:v>
      </x:c>
      <x:c r="O179" t="str">
        <x:v>Customer Success</x:v>
      </x:c>
    </x:row>
    <x:row r="180">
      <x:c r="A180" t="str">
        <x:v>CRB5178</x:v>
      </x:c>
      <x:c r="B180" s="14" t="str">
        <x:v>2026-07-05</x:v>
      </x:c>
      <x:c r="C180" t="str">
        <x:v>Priya Sharma</x:v>
      </x:c>
      <x:c r="D180" t="str">
        <x:v>u1879</x:v>
      </x:c>
      <x:c r="E180" t="str">
        <x:v>Direct</x:v>
      </x:c>
      <x:c r="F180" t="str">
        <x:v>Jaipur</x:v>
      </x:c>
      <x:c r="G180" t="str">
        <x:v>Weaving</x:v>
      </x:c>
      <x:c r="H180" t="n">
        <x:v>4</x:v>
      </x:c>
      <x:c r="I180" s="16" t="n">
        <x:v>2000</x:v>
      </x:c>
      <x:c r="J180" s="16" t="str">
        <x:v>Completed</x:v>
      </x:c>
      <x:c r="K180" s="16" t="n">
        <x:f>H180*I180</x:f>
        <x:v>8000</x:v>
      </x:c>
      <x:c r="L180" s="16" t="n">
        <x:f>IF(J180="Completed",K180*0.80,0)</x:f>
        <x:v>6400</x:v>
      </x:c>
      <x:c r="M180" s="18" t="n">
        <x:v>4.8</x:v>
      </x:c>
      <x:c r="N180" t="str">
        <x:v>Yes</x:v>
      </x:c>
      <x:c r="O180" t="str">
        <x:v>Revenue / Enterprise Team</x:v>
      </x:c>
    </x:row>
    <x:row r="181">
      <x:c r="A181" t="str">
        <x:v>CRB5179</x:v>
      </x:c>
      <x:c r="B181" s="14" t="str">
        <x:v>2026-07-05</x:v>
      </x:c>
      <x:c r="C181" t="str">
        <x:v>Mark Thompson</x:v>
      </x:c>
      <x:c r="D181" t="str">
        <x:v>u1883</x:v>
      </x:c>
      <x:c r="E181" t="str">
        <x:v>Google Search</x:v>
      </x:c>
      <x:c r="F181" t="str">
        <x:v>Udaipur</x:v>
      </x:c>
      <x:c r="G181" t="str">
        <x:v>Blue Pottery</x:v>
      </x:c>
      <x:c r="H181" t="n">
        <x:v>2</x:v>
      </x:c>
      <x:c r="I181" s="16" t="n">
        <x:v>1800</x:v>
      </x:c>
      <x:c r="J181" s="16" t="str">
        <x:v>Completed</x:v>
      </x:c>
      <x:c r="K181" s="16" t="n">
        <x:f>H181*I181</x:f>
        <x:v>3600</x:v>
      </x:c>
      <x:c r="L181" s="16" t="n">
        <x:f>IF(J181="Completed",K181*0.80,0)</x:f>
        <x:v>2880</x:v>
      </x:c>
      <x:c r="M181" s="18" t="n">
        <x:v>3.9</x:v>
      </x:c>
      <x:c r="N181" t="str">
        <x:v>Yes</x:v>
      </x:c>
      <x:c r="O181" t="str">
        <x:v>Traveler Success</x:v>
      </x:c>
    </x:row>
    <x:row r="182">
      <x:c r="A182" t="str">
        <x:v>CRB5180</x:v>
      </x:c>
      <x:c r="B182" s="14" t="str">
        <x:v>2026-07-05</x:v>
      </x:c>
      <x:c r="C182" t="str">
        <x:v>Rahul Mehta</x:v>
      </x:c>
      <x:c r="D182" t="str">
        <x:v>u1889</x:v>
      </x:c>
      <x:c r="E182" t="str">
        <x:v>Travel Blog</x:v>
      </x:c>
      <x:c r="F182" t="str">
        <x:v>Bangalore</x:v>
      </x:c>
      <x:c r="G182" t="str">
        <x:v>Weaving</x:v>
      </x:c>
      <x:c r="H182" t="n">
        <x:v>10</x:v>
      </x:c>
      <x:c r="I182" s="16" t="n">
        <x:v>2200</x:v>
      </x:c>
      <x:c r="J182" s="16" t="str">
        <x:v>Completed</x:v>
      </x:c>
      <x:c r="K182" s="16" t="n">
        <x:f>H182*I182</x:f>
        <x:v>22000</x:v>
      </x:c>
      <x:c r="L182" s="16" t="n">
        <x:f>IF(J182="Completed",K182*0.80,0)</x:f>
        <x:v>17600</x:v>
      </x:c>
      <x:c r="M182" s="18" t="n">
        <x:v>4.7</x:v>
      </x:c>
      <x:c r="N182" t="str">
        <x:v>No</x:v>
      </x:c>
      <x:c r="O182" t="str">
        <x:v>Revenue / Enterprise Team</x:v>
      </x:c>
    </x:row>
    <x:row r="183">
      <x:c r="A183" t="str">
        <x:v>CRB5181</x:v>
      </x:c>
      <x:c r="B183" s="14" t="str">
        <x:v>2026-07-05</x:v>
      </x:c>
      <x:c r="C183" t="str">
        <x:v>Priya Sharma</x:v>
      </x:c>
      <x:c r="D183" t="str">
        <x:v>u1891</x:v>
      </x:c>
      <x:c r="E183" t="str">
        <x:v>Instagram</x:v>
      </x:c>
      <x:c r="F183" t="str">
        <x:v>Jaipur</x:v>
      </x:c>
      <x:c r="G183" t="str">
        <x:v>Blue Pottery</x:v>
      </x:c>
      <x:c r="H183" t="n">
        <x:v>3</x:v>
      </x:c>
      <x:c r="I183" s="16" t="n">
        <x:v>3000</x:v>
      </x:c>
      <x:c r="J183" s="16" t="str">
        <x:v>Completed</x:v>
      </x:c>
      <x:c r="K183" s="16" t="n">
        <x:f>H183*I183</x:f>
        <x:v>9000</x:v>
      </x:c>
      <x:c r="L183" s="16" t="n">
        <x:f>IF(J183="Completed",K183*0.80,0)</x:f>
        <x:v>7200</x:v>
      </x:c>
      <x:c r="M183" s="18" t="n">
        <x:v>3.8</x:v>
      </x:c>
      <x:c r="N183" t="str">
        <x:v>Yes</x:v>
      </x:c>
      <x:c r="O183" t="str">
        <x:v>Revenue / Enterprise Team</x:v>
      </x:c>
    </x:row>
    <x:row r="184">
      <x:c r="A184" t="str">
        <x:v>CRB5182</x:v>
      </x:c>
      <x:c r="B184" s="14" t="str">
        <x:v>2026-07-05</x:v>
      </x:c>
      <x:c r="C184" t="str">
        <x:v>Sofia Martinez</x:v>
      </x:c>
      <x:c r="D184" t="str">
        <x:v>u1893</x:v>
      </x:c>
      <x:c r="E184" t="str">
        <x:v>Google Search</x:v>
      </x:c>
      <x:c r="F184" t="str">
        <x:v>Udaipur</x:v>
      </x:c>
      <x:c r="G184" t="str">
        <x:v>Warli Painting</x:v>
      </x:c>
      <x:c r="H184" t="n">
        <x:v>2</x:v>
      </x:c>
      <x:c r="I184" s="16" t="n">
        <x:v>2000</x:v>
      </x:c>
      <x:c r="J184" s="16" t="str">
        <x:v>Completed</x:v>
      </x:c>
      <x:c r="K184" s="16" t="n">
        <x:f>H184*I184</x:f>
        <x:v>4000</x:v>
      </x:c>
      <x:c r="L184" s="16" t="n">
        <x:f>IF(J184="Completed",K184*0.80,0)</x:f>
        <x:v>3200</x:v>
      </x:c>
      <x:c r="M184" s="18" t="n">
        <x:v>3.9</x:v>
      </x:c>
      <x:c r="N184" t="str">
        <x:v>No</x:v>
      </x:c>
      <x:c r="O184" t="str">
        <x:v>Customer Success</x:v>
      </x:c>
    </x:row>
    <x:row r="185">
      <x:c r="A185" t="str">
        <x:v>CRB5183</x:v>
      </x:c>
      <x:c r="B185" s="14" t="str">
        <x:v>2026-07-05</x:v>
      </x:c>
      <x:c r="C185" t="str">
        <x:v>Mark Thompson</x:v>
      </x:c>
      <x:c r="D185" t="str">
        <x:v>u1894</x:v>
      </x:c>
      <x:c r="E185" t="str">
        <x:v>Referral</x:v>
      </x:c>
      <x:c r="F185" t="str">
        <x:v>Varanasi</x:v>
      </x:c>
      <x:c r="G185" t="str">
        <x:v>Pottery</x:v>
      </x:c>
      <x:c r="H185" t="n">
        <x:v>10</x:v>
      </x:c>
      <x:c r="I185" s="16" t="n">
        <x:v>2000</x:v>
      </x:c>
      <x:c r="J185" s="16" t="str">
        <x:v>No-show</x:v>
      </x:c>
      <x:c r="K185" s="16" t="n">
        <x:f>H185*I185</x:f>
        <x:v>20000</x:v>
      </x:c>
      <x:c r="L185" s="16" t="n">
        <x:f>IF(J185="Completed",K185*0.80,0)</x:f>
        <x:v>0</x:v>
      </x:c>
      <x:c r="M185" s="18" t="str"/>
      <x:c r="N185" t="str">
        <x:v>No</x:v>
      </x:c>
      <x:c r="O185" t="str">
        <x:v>Traveler Success</x:v>
      </x:c>
    </x:row>
    <x:row r="186">
      <x:c r="A186" t="str">
        <x:v>CRB5184</x:v>
      </x:c>
      <x:c r="B186" s="14" t="str">
        <x:v>2026-07-05</x:v>
      </x:c>
      <x:c r="C186" t="str">
        <x:v>Priya Sharma</x:v>
      </x:c>
      <x:c r="D186" t="str">
        <x:v>u1895</x:v>
      </x:c>
      <x:c r="E186" t="str">
        <x:v>Travel Blog</x:v>
      </x:c>
      <x:c r="F186" t="str">
        <x:v>Jaipur</x:v>
      </x:c>
      <x:c r="G186" t="str">
        <x:v>Blue Pottery</x:v>
      </x:c>
      <x:c r="H186" t="n">
        <x:v>12</x:v>
      </x:c>
      <x:c r="I186" s="16" t="n">
        <x:v>1500</x:v>
      </x:c>
      <x:c r="J186" s="16" t="str">
        <x:v>Completed</x:v>
      </x:c>
      <x:c r="K186" s="16" t="n">
        <x:f>H186*I186</x:f>
        <x:v>18000</x:v>
      </x:c>
      <x:c r="L186" s="16" t="n">
        <x:f>IF(J186="Completed",K186*0.80,0)</x:f>
        <x:v>14400</x:v>
      </x:c>
      <x:c r="M186" s="18" t="n">
        <x:v>4.1</x:v>
      </x:c>
      <x:c r="N186" t="str">
        <x:v>No</x:v>
      </x:c>
      <x:c r="O186" t="str">
        <x:v>Revenue / Enterprise Team</x:v>
      </x:c>
    </x:row>
    <x:row r="187">
      <x:c r="A187" t="str">
        <x:v>CRB5185</x:v>
      </x:c>
      <x:c r="B187" s="14" t="str">
        <x:v>2026-07-05</x:v>
      </x:c>
      <x:c r="C187" t="str">
        <x:v>Sofia Martinez</x:v>
      </x:c>
      <x:c r="D187" t="str">
        <x:v>u1897</x:v>
      </x:c>
      <x:c r="E187" t="str">
        <x:v>Referral</x:v>
      </x:c>
      <x:c r="F187" t="str">
        <x:v>Udaipur</x:v>
      </x:c>
      <x:c r="G187" t="str">
        <x:v>Block Printing</x:v>
      </x:c>
      <x:c r="H187" t="n">
        <x:v>1</x:v>
      </x:c>
      <x:c r="I187" s="16" t="n">
        <x:v>3000</x:v>
      </x:c>
      <x:c r="J187" s="16" t="str">
        <x:v>Completed</x:v>
      </x:c>
      <x:c r="K187" s="16" t="n">
        <x:f>H187*I187</x:f>
        <x:v>3000</x:v>
      </x:c>
      <x:c r="L187" s="16" t="n">
        <x:f>IF(J187="Completed",K187*0.80,0)</x:f>
        <x:v>2400</x:v>
      </x:c>
      <x:c r="M187" s="18" t="n">
        <x:v>4.2</x:v>
      </x:c>
      <x:c r="N187" t="str">
        <x:v>Yes</x:v>
      </x:c>
      <x:c r="O187" t="str">
        <x:v>Revenue / Enterprise Team</x:v>
      </x:c>
    </x:row>
    <x:row r="188">
      <x:c r="A188" t="str">
        <x:v>CRB5186</x:v>
      </x:c>
      <x:c r="B188" s="14" t="str">
        <x:v>2026-07-05</x:v>
      </x:c>
      <x:c r="C188" t="str">
        <x:v>Mark Thompson</x:v>
      </x:c>
      <x:c r="D188" t="str">
        <x:v>u1903</x:v>
      </x:c>
      <x:c r="E188" t="str">
        <x:v>Travel Blog</x:v>
      </x:c>
      <x:c r="F188" t="str">
        <x:v>Varanasi</x:v>
      </x:c>
      <x:c r="G188" t="str">
        <x:v>Pottery</x:v>
      </x:c>
      <x:c r="H188" t="n">
        <x:v>3</x:v>
      </x:c>
      <x:c r="I188" s="16" t="n">
        <x:v>2000</x:v>
      </x:c>
      <x:c r="J188" s="16" t="str">
        <x:v>Completed</x:v>
      </x:c>
      <x:c r="K188" s="16" t="n">
        <x:f>H188*I188</x:f>
        <x:v>6000</x:v>
      </x:c>
      <x:c r="L188" s="16" t="n">
        <x:f>IF(J188="Completed",K188*0.80,0)</x:f>
        <x:v>4800</x:v>
      </x:c>
      <x:c r="M188" s="18" t="n">
        <x:v>4.6</x:v>
      </x:c>
      <x:c r="N188" t="str">
        <x:v>No</x:v>
      </x:c>
      <x:c r="O188" t="str">
        <x:v>Traveler Success</x:v>
      </x:c>
    </x:row>
    <x:row r="189">
      <x:c r="A189" t="str">
        <x:v>CRB5187</x:v>
      </x:c>
      <x:c r="B189" s="14" t="str">
        <x:v>2026-07-05</x:v>
      </x:c>
      <x:c r="C189" t="str">
        <x:v>Rahul Mehta</x:v>
      </x:c>
      <x:c r="D189" t="str">
        <x:v>u1911</x:v>
      </x:c>
      <x:c r="E189" t="str">
        <x:v>Direct</x:v>
      </x:c>
      <x:c r="F189" t="str">
        <x:v>Jaipur</x:v>
      </x:c>
      <x:c r="G189" t="str">
        <x:v>Pottery</x:v>
      </x:c>
      <x:c r="H189" t="n">
        <x:v>1</x:v>
      </x:c>
      <x:c r="I189" s="16" t="n">
        <x:v>2000</x:v>
      </x:c>
      <x:c r="J189" s="16" t="str">
        <x:v>Completed</x:v>
      </x:c>
      <x:c r="K189" s="16" t="n">
        <x:f>H189*I189</x:f>
        <x:v>2000</x:v>
      </x:c>
      <x:c r="L189" s="16" t="n">
        <x:f>IF(J189="Completed",K189*0.80,0)</x:f>
        <x:v>1600</x:v>
      </x:c>
      <x:c r="M189" s="18" t="n">
        <x:v>4.5</x:v>
      </x:c>
      <x:c r="N189" t="str">
        <x:v>Yes</x:v>
      </x:c>
      <x:c r="O189" t="str">
        <x:v>Traveler Success</x:v>
      </x:c>
    </x:row>
    <x:row r="190">
      <x:c r="A190" t="str">
        <x:v>CRB5188</x:v>
      </x:c>
      <x:c r="B190" s="14" t="str">
        <x:v>2026-07-05</x:v>
      </x:c>
      <x:c r="C190" t="str">
        <x:v>Rahul Mehta</x:v>
      </x:c>
      <x:c r="D190" t="str">
        <x:v>u1915</x:v>
      </x:c>
      <x:c r="E190" t="str">
        <x:v>Google Search</x:v>
      </x:c>
      <x:c r="F190" t="str">
        <x:v>Jaipur</x:v>
      </x:c>
      <x:c r="G190" t="str">
        <x:v>Warli Painting</x:v>
      </x:c>
      <x:c r="H190" t="n">
        <x:v>10</x:v>
      </x:c>
      <x:c r="I190" s="16" t="n">
        <x:v>1800</x:v>
      </x:c>
      <x:c r="J190" s="16" t="str">
        <x:v>Completed</x:v>
      </x:c>
      <x:c r="K190" s="16" t="n">
        <x:f>H190*I190</x:f>
        <x:v>18000</x:v>
      </x:c>
      <x:c r="L190" s="16" t="n">
        <x:f>IF(J190="Completed",K190*0.80,0)</x:f>
        <x:v>14400</x:v>
      </x:c>
      <x:c r="M190" s="18" t="n">
        <x:v>4.3</x:v>
      </x:c>
      <x:c r="N190" t="str">
        <x:v>Yes</x:v>
      </x:c>
      <x:c r="O190" t="str">
        <x:v>Traveler Success</x:v>
      </x:c>
    </x:row>
    <x:row r="191">
      <x:c r="A191" t="str">
        <x:v>CRB5189</x:v>
      </x:c>
      <x:c r="B191" s="14" t="str">
        <x:v>2026-07-05</x:v>
      </x:c>
      <x:c r="C191" t="str">
        <x:v>Mark Thompson</x:v>
      </x:c>
      <x:c r="D191" t="str">
        <x:v>u1916</x:v>
      </x:c>
      <x:c r="E191" t="str">
        <x:v>Instagram</x:v>
      </x:c>
      <x:c r="F191" t="str">
        <x:v>Bangalore</x:v>
      </x:c>
      <x:c r="G191" t="str">
        <x:v>Blue Pottery</x:v>
      </x:c>
      <x:c r="H191" t="n">
        <x:v>1</x:v>
      </x:c>
      <x:c r="I191" s="16" t="n">
        <x:v>1500</x:v>
      </x:c>
      <x:c r="J191" s="16" t="str">
        <x:v>Completed</x:v>
      </x:c>
      <x:c r="K191" s="16" t="n">
        <x:f>H191*I191</x:f>
        <x:v>1500</x:v>
      </x:c>
      <x:c r="L191" s="16" t="n">
        <x:f>IF(J191="Completed",K191*0.80,0)</x:f>
        <x:v>1200</x:v>
      </x:c>
      <x:c r="M191" s="18" t="n">
        <x:v>4.6</x:v>
      </x:c>
      <x:c r="N191" t="str">
        <x:v>No</x:v>
      </x:c>
      <x:c r="O191" t="str">
        <x:v>Revenue / Enterprise Team</x:v>
      </x:c>
    </x:row>
    <x:row r="192">
      <x:c r="A192" t="str">
        <x:v>CRB5190</x:v>
      </x:c>
      <x:c r="B192" s="14" t="str">
        <x:v>2026-07-05</x:v>
      </x:c>
      <x:c r="C192" t="str">
        <x:v>Sofia Martinez</x:v>
      </x:c>
      <x:c r="D192" t="str">
        <x:v>u1917</x:v>
      </x:c>
      <x:c r="E192" t="str">
        <x:v>Travel Blog</x:v>
      </x:c>
      <x:c r="F192" t="str">
        <x:v>Khurja</x:v>
      </x:c>
      <x:c r="G192" t="str">
        <x:v>Pottery</x:v>
      </x:c>
      <x:c r="H192" t="n">
        <x:v>3</x:v>
      </x:c>
      <x:c r="I192" s="16" t="n">
        <x:v>1800</x:v>
      </x:c>
      <x:c r="J192" s="16" t="str">
        <x:v>Completed</x:v>
      </x:c>
      <x:c r="K192" s="16" t="n">
        <x:f>H192*I192</x:f>
        <x:v>5400</x:v>
      </x:c>
      <x:c r="L192" s="16" t="n">
        <x:f>IF(J192="Completed",K192*0.80,0)</x:f>
        <x:v>4320</x:v>
      </x:c>
      <x:c r="M192" s="18" t="n">
        <x:v>4</x:v>
      </x:c>
      <x:c r="N192" t="str">
        <x:v>Yes</x:v>
      </x:c>
      <x:c r="O192" t="str">
        <x:v>Revenue / Enterprise Team</x:v>
      </x:c>
    </x:row>
    <x:row r="193">
      <x:c r="A193" t="str">
        <x:v>CRB5191</x:v>
      </x:c>
      <x:c r="B193" s="14" t="str">
        <x:v>2026-07-05</x:v>
      </x:c>
      <x:c r="C193" t="str">
        <x:v>Ananya Reddy</x:v>
      </x:c>
      <x:c r="D193" t="str">
        <x:v>u1918</x:v>
      </x:c>
      <x:c r="E193" t="str">
        <x:v>Referral</x:v>
      </x:c>
      <x:c r="F193" t="str">
        <x:v>Varanasi</x:v>
      </x:c>
      <x:c r="G193" t="str">
        <x:v>Blue Pottery</x:v>
      </x:c>
      <x:c r="H193" t="n">
        <x:v>2</x:v>
      </x:c>
      <x:c r="I193" s="16" t="n">
        <x:v>2500</x:v>
      </x:c>
      <x:c r="J193" s="16" t="str">
        <x:v>Completed</x:v>
      </x:c>
      <x:c r="K193" s="16" t="n">
        <x:f>H193*I193</x:f>
        <x:v>5000</x:v>
      </x:c>
      <x:c r="L193" s="16" t="n">
        <x:f>IF(J193="Completed",K193*0.80,0)</x:f>
        <x:v>4000</x:v>
      </x:c>
      <x:c r="M193" s="18" t="n">
        <x:v>4.4</x:v>
      </x:c>
      <x:c r="N193" t="str">
        <x:v>No</x:v>
      </x:c>
      <x:c r="O193" t="str">
        <x:v>Revenue / Enterprise Team</x:v>
      </x:c>
    </x:row>
    <x:row r="194">
      <x:c r="A194" t="str">
        <x:v>CRB5192</x:v>
      </x:c>
      <x:c r="B194" s="14" t="str">
        <x:v>2026-07-05</x:v>
      </x:c>
      <x:c r="C194" t="str">
        <x:v>Ananya Reddy</x:v>
      </x:c>
      <x:c r="D194" t="str">
        <x:v>u1921</x:v>
      </x:c>
      <x:c r="E194" t="str">
        <x:v>Instagram</x:v>
      </x:c>
      <x:c r="F194" t="str">
        <x:v>Varanasi</x:v>
      </x:c>
      <x:c r="G194" t="str">
        <x:v>Weaving</x:v>
      </x:c>
      <x:c r="H194" t="n">
        <x:v>12</x:v>
      </x:c>
      <x:c r="I194" s="16" t="n">
        <x:v>1500</x:v>
      </x:c>
      <x:c r="J194" s="16" t="str">
        <x:v>Completed</x:v>
      </x:c>
      <x:c r="K194" s="16" t="n">
        <x:f>H194*I194</x:f>
        <x:v>18000</x:v>
      </x:c>
      <x:c r="L194" s="16" t="n">
        <x:f>IF(J194="Completed",K194*0.80,0)</x:f>
        <x:v>14400</x:v>
      </x:c>
      <x:c r="M194" s="18" t="n">
        <x:v>4.4</x:v>
      </x:c>
      <x:c r="N194" t="str">
        <x:v>Yes</x:v>
      </x:c>
      <x:c r="O194" t="str">
        <x:v>Customer Success</x:v>
      </x:c>
    </x:row>
    <x:row r="195">
      <x:c r="A195" t="str">
        <x:v>CRB5193</x:v>
      </x:c>
      <x:c r="B195" s="14" t="str">
        <x:v>2026-07-05</x:v>
      </x:c>
      <x:c r="C195" t="str">
        <x:v>Priya Sharma</x:v>
      </x:c>
      <x:c r="D195" t="str">
        <x:v>u1924</x:v>
      </x:c>
      <x:c r="E195" t="str">
        <x:v>Referral</x:v>
      </x:c>
      <x:c r="F195" t="str">
        <x:v>Khurja</x:v>
      </x:c>
      <x:c r="G195" t="str">
        <x:v>Block Printing</x:v>
      </x:c>
      <x:c r="H195" t="n">
        <x:v>3</x:v>
      </x:c>
      <x:c r="I195" s="16" t="n">
        <x:v>2200</x:v>
      </x:c>
      <x:c r="J195" s="16" t="str">
        <x:v>Completed</x:v>
      </x:c>
      <x:c r="K195" s="16" t="n">
        <x:f>H195*I195</x:f>
        <x:v>6600</x:v>
      </x:c>
      <x:c r="L195" s="16" t="n">
        <x:f>IF(J195="Completed",K195*0.80,0)</x:f>
        <x:v>5280</x:v>
      </x:c>
      <x:c r="M195" s="18" t="n">
        <x:v>4.5</x:v>
      </x:c>
      <x:c r="N195" t="str">
        <x:v>No</x:v>
      </x:c>
      <x:c r="O195" t="str">
        <x:v>Traveler Success</x:v>
      </x:c>
    </x:row>
    <x:row r="196">
      <x:c r="A196" t="str">
        <x:v>CRB5194</x:v>
      </x:c>
      <x:c r="B196" s="14" t="str">
        <x:v>2026-07-05</x:v>
      </x:c>
      <x:c r="C196" t="str">
        <x:v>Ananya Reddy</x:v>
      </x:c>
      <x:c r="D196" t="str">
        <x:v>u1926</x:v>
      </x:c>
      <x:c r="E196" t="str">
        <x:v>Travel Blog</x:v>
      </x:c>
      <x:c r="F196" t="str">
        <x:v>Khurja</x:v>
      </x:c>
      <x:c r="G196" t="str">
        <x:v>Weaving</x:v>
      </x:c>
      <x:c r="H196" t="n">
        <x:v>1</x:v>
      </x:c>
      <x:c r="I196" s="16" t="n">
        <x:v>2000</x:v>
      </x:c>
      <x:c r="J196" s="16" t="str">
        <x:v>Completed</x:v>
      </x:c>
      <x:c r="K196" s="16" t="n">
        <x:f>H196*I196</x:f>
        <x:v>2000</x:v>
      </x:c>
      <x:c r="L196" s="16" t="n">
        <x:f>IF(J196="Completed",K196*0.80,0)</x:f>
        <x:v>1600</x:v>
      </x:c>
      <x:c r="M196" s="18" t="n">
        <x:v>4.4</x:v>
      </x:c>
      <x:c r="N196" t="str">
        <x:v>No</x:v>
      </x:c>
      <x:c r="O196" t="str">
        <x:v>Traveler Success</x:v>
      </x:c>
    </x:row>
    <x:row r="197">
      <x:c r="A197" t="str">
        <x:v>CRB5195</x:v>
      </x:c>
      <x:c r="B197" s="14" t="str">
        <x:v>2026-07-05</x:v>
      </x:c>
      <x:c r="C197" t="str">
        <x:v>Ananya Reddy</x:v>
      </x:c>
      <x:c r="D197" t="str">
        <x:v>u1936</x:v>
      </x:c>
      <x:c r="E197" t="str">
        <x:v>Instagram</x:v>
      </x:c>
      <x:c r="F197" t="str">
        <x:v>Jaipur</x:v>
      </x:c>
      <x:c r="G197" t="str">
        <x:v>Blue Pottery</x:v>
      </x:c>
      <x:c r="H197" t="n">
        <x:v>1</x:v>
      </x:c>
      <x:c r="I197" s="16" t="n">
        <x:v>2200</x:v>
      </x:c>
      <x:c r="J197" s="16" t="str">
        <x:v>Completed</x:v>
      </x:c>
      <x:c r="K197" s="16" t="n">
        <x:f>H197*I197</x:f>
        <x:v>2200</x:v>
      </x:c>
      <x:c r="L197" s="16" t="n">
        <x:f>IF(J197="Completed",K197*0.80,0)</x:f>
        <x:v>1760</x:v>
      </x:c>
      <x:c r="M197" s="18" t="n">
        <x:v>4.6</x:v>
      </x:c>
      <x:c r="N197" t="str">
        <x:v>No</x:v>
      </x:c>
      <x:c r="O197" t="str">
        <x:v>Revenue / Enterprise Team</x:v>
      </x:c>
    </x:row>
    <x:row r="198">
      <x:c r="A198" t="str">
        <x:v>CRB5196</x:v>
      </x:c>
      <x:c r="B198" s="14" t="str">
        <x:v>2026-07-05</x:v>
      </x:c>
      <x:c r="C198" t="str">
        <x:v>Rahul Mehta</x:v>
      </x:c>
      <x:c r="D198" t="str">
        <x:v>u1940</x:v>
      </x:c>
      <x:c r="E198" t="str">
        <x:v>Instagram</x:v>
      </x:c>
      <x:c r="F198" t="str">
        <x:v>Bangalore</x:v>
      </x:c>
      <x:c r="G198" t="str">
        <x:v>Weaving</x:v>
      </x:c>
      <x:c r="H198" t="n">
        <x:v>1</x:v>
      </x:c>
      <x:c r="I198" s="16" t="n">
        <x:v>2000</x:v>
      </x:c>
      <x:c r="J198" s="16" t="str">
        <x:v>Completed</x:v>
      </x:c>
      <x:c r="K198" s="16" t="n">
        <x:f>H198*I198</x:f>
        <x:v>2000</x:v>
      </x:c>
      <x:c r="L198" s="16" t="n">
        <x:f>IF(J198="Completed",K198*0.80,0)</x:f>
        <x:v>1600</x:v>
      </x:c>
      <x:c r="M198" s="18" t="n">
        <x:v>4.6</x:v>
      </x:c>
      <x:c r="N198" t="str">
        <x:v>No</x:v>
      </x:c>
      <x:c r="O198" t="str">
        <x:v>Traveler Success</x:v>
      </x:c>
    </x:row>
    <x:row r="199">
      <x:c r="A199" t="str">
        <x:v>CRB5197</x:v>
      </x:c>
      <x:c r="B199" s="14" t="str">
        <x:v>2026-07-05</x:v>
      </x:c>
      <x:c r="C199" t="str">
        <x:v>Priya Sharma</x:v>
      </x:c>
      <x:c r="D199" t="str">
        <x:v>u1944</x:v>
      </x:c>
      <x:c r="E199" t="str">
        <x:v>Travel Blog</x:v>
      </x:c>
      <x:c r="F199" t="str">
        <x:v>Udaipur</x:v>
      </x:c>
      <x:c r="G199" t="str">
        <x:v>Warli Painting</x:v>
      </x:c>
      <x:c r="H199" t="n">
        <x:v>4</x:v>
      </x:c>
      <x:c r="I199" s="16" t="n">
        <x:v>2200</x:v>
      </x:c>
      <x:c r="J199" s="16" t="str">
        <x:v>Completed</x:v>
      </x:c>
      <x:c r="K199" s="16" t="n">
        <x:f>H199*I199</x:f>
        <x:v>8800</x:v>
      </x:c>
      <x:c r="L199" s="16" t="n">
        <x:f>IF(J199="Completed",K199*0.80,0)</x:f>
        <x:v>7040</x:v>
      </x:c>
      <x:c r="M199" s="18" t="n">
        <x:v>4.9</x:v>
      </x:c>
      <x:c r="N199" t="str">
        <x:v>No</x:v>
      </x:c>
      <x:c r="O199" t="str">
        <x:v>Customer Success</x:v>
      </x:c>
    </x:row>
    <x:row r="200">
      <x:c r="A200" t="str">
        <x:v>CRB5198</x:v>
      </x:c>
      <x:c r="B200" s="14" t="str">
        <x:v>2026-07-05</x:v>
      </x:c>
      <x:c r="C200" t="str">
        <x:v>Rahul Mehta</x:v>
      </x:c>
      <x:c r="D200" t="str">
        <x:v>u1957</x:v>
      </x:c>
      <x:c r="E200" t="str">
        <x:v>Direct</x:v>
      </x:c>
      <x:c r="F200" t="str">
        <x:v>Khurja</x:v>
      </x:c>
      <x:c r="G200" t="str">
        <x:v>Blue Pottery</x:v>
      </x:c>
      <x:c r="H200" t="n">
        <x:v>1</x:v>
      </x:c>
      <x:c r="I200" s="16" t="n">
        <x:v>3000</x:v>
      </x:c>
      <x:c r="J200" s="16" t="str">
        <x:v>Completed</x:v>
      </x:c>
      <x:c r="K200" s="16" t="n">
        <x:f>H200*I200</x:f>
        <x:v>3000</x:v>
      </x:c>
      <x:c r="L200" s="16" t="n">
        <x:f>IF(J200="Completed",K200*0.80,0)</x:f>
        <x:v>2400</x:v>
      </x:c>
      <x:c r="M200" s="18" t="n">
        <x:v>4.2</x:v>
      </x:c>
      <x:c r="N200" t="str">
        <x:v>No</x:v>
      </x:c>
      <x:c r="O200" t="str">
        <x:v>Revenue / Enterprise Team</x:v>
      </x:c>
    </x:row>
    <x:row r="201">
      <x:c r="A201" t="str">
        <x:v>CRB5199</x:v>
      </x:c>
      <x:c r="B201" t="str">
        <x:v>2026-07-05</x:v>
      </x:c>
      <x:c r="C201" t="str">
        <x:v>Mark Thompson</x:v>
      </x:c>
      <x:c r="D201" t="str">
        <x:v>u1964</x:v>
      </x:c>
      <x:c r="E201" t="str">
        <x:v>Google Search</x:v>
      </x:c>
      <x:c r="F201" t="str">
        <x:v>Udaipur</x:v>
      </x:c>
      <x:c r="G201" t="str">
        <x:v>Weaving</x:v>
      </x:c>
      <x:c r="H201" t="n">
        <x:v>3</x:v>
      </x:c>
      <x:c r="I201" t="n">
        <x:v>3500</x:v>
      </x:c>
      <x:c r="J201" t="str">
        <x:v>Cancelled</x:v>
      </x:c>
      <x:c r="K201" t="n">
        <x:f>H201*I201</x:f>
        <x:v>10500</x:v>
      </x:c>
      <x:c r="L201" s="16" t="n">
        <x:f>IF(J201="Completed",K201*0.80,0)</x:f>
        <x:v>0</x:v>
      </x:c>
      <x:c r="M201" t="str"/>
      <x:c r="N201" t="str">
        <x:v>No</x:v>
      </x:c>
      <x:c r="O201" t="str">
        <x:v>Traveler Success</x:v>
      </x:c>
    </x:row>
    <x:row r="202">
      <x:c r="A202" t="str">
        <x:v>CRB5200</x:v>
      </x:c>
      <x:c r="B202" t="str">
        <x:v>2026-07-05</x:v>
      </x:c>
      <x:c r="C202" t="str">
        <x:v>Sofia Martinez</x:v>
      </x:c>
      <x:c r="D202" t="str">
        <x:v>u1969</x:v>
      </x:c>
      <x:c r="E202" t="str">
        <x:v>Referral</x:v>
      </x:c>
      <x:c r="F202" t="str">
        <x:v>Varanasi</x:v>
      </x:c>
      <x:c r="G202" t="str">
        <x:v>Blue Pottery</x:v>
      </x:c>
      <x:c r="H202" t="n">
        <x:v>12</x:v>
      </x:c>
      <x:c r="I202" t="n">
        <x:v>3000</x:v>
      </x:c>
      <x:c r="J202" t="str">
        <x:v>No-show</x:v>
      </x:c>
      <x:c r="K202" t="n">
        <x:f>H202*I202</x:f>
        <x:v>36000</x:v>
      </x:c>
      <x:c r="L202" s="16" t="n">
        <x:f>IF(J202="Completed",K202*0.80,0)</x:f>
        <x:v>0</x:v>
      </x:c>
      <x:c r="M202" t="str"/>
      <x:c r="N202" t="str">
        <x:v>No</x:v>
      </x:c>
      <x:c r="O202" t="str">
        <x:v>Traveler Success</x:v>
      </x:c>
    </x:row>
    <x:row r="203">
      <x:c r="A203" t="str">
        <x:v>CRB5201</x:v>
      </x:c>
      <x:c r="B203" t="str">
        <x:v>2026-07-05</x:v>
      </x:c>
      <x:c r="C203" t="str">
        <x:v>Ananya Reddy</x:v>
      </x:c>
      <x:c r="D203" t="str">
        <x:v>u1972</x:v>
      </x:c>
      <x:c r="E203" t="str">
        <x:v>Referral</x:v>
      </x:c>
      <x:c r="F203" t="str">
        <x:v>Jaipur</x:v>
      </x:c>
      <x:c r="G203" t="str">
        <x:v>Warli Painting</x:v>
      </x:c>
      <x:c r="H203" t="n">
        <x:v>4</x:v>
      </x:c>
      <x:c r="I203" t="n">
        <x:v>2200</x:v>
      </x:c>
      <x:c r="J203" t="str">
        <x:v>Completed</x:v>
      </x:c>
      <x:c r="K203" t="n">
        <x:f>H203*I203</x:f>
        <x:v>8800</x:v>
      </x:c>
      <x:c r="L203" s="16" t="n">
        <x:f>IF(J203="Completed",K203*0.80,0)</x:f>
        <x:v>7040</x:v>
      </x:c>
      <x:c r="M203" t="n">
        <x:v>4.5</x:v>
      </x:c>
      <x:c r="N203" t="str">
        <x:v>No</x:v>
      </x:c>
      <x:c r="O203" t="str">
        <x:v>Traveler Success</x:v>
      </x:c>
    </x:row>
    <x:row r="204">
      <x:c r="A204" t="str">
        <x:v>CRB5202</x:v>
      </x:c>
      <x:c r="B204" t="str">
        <x:v>2026-07-05</x:v>
      </x:c>
      <x:c r="C204" t="str">
        <x:v>Mark Thompson</x:v>
      </x:c>
      <x:c r="D204" t="str">
        <x:v>u1980</x:v>
      </x:c>
      <x:c r="E204" t="str">
        <x:v>Instagram</x:v>
      </x:c>
      <x:c r="F204" t="str">
        <x:v>Varanasi</x:v>
      </x:c>
      <x:c r="G204" t="str">
        <x:v>Pottery</x:v>
      </x:c>
      <x:c r="H204" t="n">
        <x:v>2</x:v>
      </x:c>
      <x:c r="I204" t="n">
        <x:v>2000</x:v>
      </x:c>
      <x:c r="J204" t="str">
        <x:v>Completed</x:v>
      </x:c>
      <x:c r="K204" t="n">
        <x:f>H204*I204</x:f>
        <x:v>4000</x:v>
      </x:c>
      <x:c r="L204" s="16" t="n">
        <x:f>IF(J204="Completed",K204*0.80,0)</x:f>
        <x:v>3200</x:v>
      </x:c>
      <x:c r="M204" t="n">
        <x:v>4.3</x:v>
      </x:c>
      <x:c r="N204" t="str">
        <x:v>Yes</x:v>
      </x:c>
      <x:c r="O204" t="str">
        <x:v>Customer Success</x:v>
      </x:c>
    </x:row>
    <x:row r="205">
      <x:c r="A205" t="str">
        <x:v>CRB5203</x:v>
      </x:c>
      <x:c r="B205" t="str">
        <x:v>2026-07-05</x:v>
      </x:c>
      <x:c r="C205" t="str">
        <x:v>Ananya Reddy</x:v>
      </x:c>
      <x:c r="D205" t="str">
        <x:v>u1984</x:v>
      </x:c>
      <x:c r="E205" t="str">
        <x:v>Instagram</x:v>
      </x:c>
      <x:c r="F205" t="str">
        <x:v>Bangalore</x:v>
      </x:c>
      <x:c r="G205" t="str">
        <x:v>Warli Painting</x:v>
      </x:c>
      <x:c r="H205" t="n">
        <x:v>4</x:v>
      </x:c>
      <x:c r="I205" t="n">
        <x:v>2000</x:v>
      </x:c>
      <x:c r="J205" t="str">
        <x:v>Completed</x:v>
      </x:c>
      <x:c r="K205" t="n">
        <x:f>H205*I205</x:f>
        <x:v>8000</x:v>
      </x:c>
      <x:c r="L205" s="16" t="n">
        <x:f>IF(J205="Completed",K205*0.80,0)</x:f>
        <x:v>6400</x:v>
      </x:c>
      <x:c r="M205" t="n">
        <x:v>4.9</x:v>
      </x:c>
      <x:c r="N205" t="str">
        <x:v>Yes</x:v>
      </x:c>
      <x:c r="O205" t="str">
        <x:v>Traveler Success</x:v>
      </x:c>
    </x:row>
    <x:row r="206">
      <x:c r="A206" t="str">
        <x:v>CRB5204</x:v>
      </x:c>
      <x:c r="B206" t="str">
        <x:v>2026-07-05</x:v>
      </x:c>
      <x:c r="C206" t="str">
        <x:v>Sofia Martinez</x:v>
      </x:c>
      <x:c r="D206" t="str">
        <x:v>u1987</x:v>
      </x:c>
      <x:c r="E206" t="str">
        <x:v>Instagram</x:v>
      </x:c>
      <x:c r="F206" t="str">
        <x:v>Udaipur</x:v>
      </x:c>
      <x:c r="G206" t="str">
        <x:v>Blue Pottery</x:v>
      </x:c>
      <x:c r="H206" t="n">
        <x:v>1</x:v>
      </x:c>
      <x:c r="I206" t="n">
        <x:v>2200</x:v>
      </x:c>
      <x:c r="J206" t="str">
        <x:v>Completed</x:v>
      </x:c>
      <x:c r="K206" t="n">
        <x:f>H206*I206</x:f>
        <x:v>2200</x:v>
      </x:c>
      <x:c r="L206" s="16" t="n">
        <x:f>IF(J206="Completed",K206*0.80,0)</x:f>
        <x:v>1760</x:v>
      </x:c>
      <x:c r="M206" t="n">
        <x:v>4</x:v>
      </x:c>
      <x:c r="N206" t="str">
        <x:v>No</x:v>
      </x:c>
      <x:c r="O206" t="str">
        <x:v>Traveler Success</x:v>
      </x:c>
    </x:row>
    <x:row r="207">
      <x:c r="A207" t="str">
        <x:v>CRB5205</x:v>
      </x:c>
      <x:c r="B207" t="str">
        <x:v>2026-07-05</x:v>
      </x:c>
      <x:c r="C207" t="str">
        <x:v>Ananya Reddy</x:v>
      </x:c>
      <x:c r="D207" t="str">
        <x:v>u1989</x:v>
      </x:c>
      <x:c r="E207" t="str">
        <x:v>Google Search</x:v>
      </x:c>
      <x:c r="F207" t="str">
        <x:v>Khurja</x:v>
      </x:c>
      <x:c r="G207" t="str">
        <x:v>Weaving</x:v>
      </x:c>
      <x:c r="H207" t="n">
        <x:v>2</x:v>
      </x:c>
      <x:c r="I207" t="n">
        <x:v>1500</x:v>
      </x:c>
      <x:c r="J207" t="str">
        <x:v>Completed</x:v>
      </x:c>
      <x:c r="K207" t="n">
        <x:f>H207*I207</x:f>
        <x:v>3000</x:v>
      </x:c>
      <x:c r="L207" s="16" t="n">
        <x:f>IF(J207="Completed",K207*0.80,0)</x:f>
        <x:v>2400</x:v>
      </x:c>
      <x:c r="M207" t="n">
        <x:v>4.3</x:v>
      </x:c>
      <x:c r="N207" t="str">
        <x:v>Yes</x:v>
      </x:c>
      <x:c r="O207" t="str">
        <x:v>Traveler Success</x:v>
      </x:c>
    </x:row>
    <x:row r="208">
      <x:c r="A208" t="str">
        <x:v>CRB5206</x:v>
      </x:c>
      <x:c r="B208" t="str">
        <x:v>2026-07-05</x:v>
      </x:c>
      <x:c r="C208" t="str">
        <x:v>Rahul Mehta</x:v>
      </x:c>
      <x:c r="D208" t="str">
        <x:v>u1992</x:v>
      </x:c>
      <x:c r="E208" t="str">
        <x:v>Instagram</x:v>
      </x:c>
      <x:c r="F208" t="str">
        <x:v>Bangalore</x:v>
      </x:c>
      <x:c r="G208" t="str">
        <x:v>Pottery</x:v>
      </x:c>
      <x:c r="H208" t="n">
        <x:v>1</x:v>
      </x:c>
      <x:c r="I208" t="n">
        <x:v>1500</x:v>
      </x:c>
      <x:c r="J208" t="str">
        <x:v>Completed</x:v>
      </x:c>
      <x:c r="K208" t="n">
        <x:f>H208*I208</x:f>
        <x:v>1500</x:v>
      </x:c>
      <x:c r="L208" s="16" t="n">
        <x:f>IF(J208="Completed",K208*0.80,0)</x:f>
        <x:v>1200</x:v>
      </x:c>
      <x:c r="M208" t="n">
        <x:v>4.1</x:v>
      </x:c>
      <x:c r="N208" t="str">
        <x:v>No</x:v>
      </x:c>
      <x:c r="O208" t="str">
        <x:v>Customer Success</x:v>
      </x:c>
    </x:row>
    <x:row r="209">
      <x:c r="A209" t="str">
        <x:v>CRB5207</x:v>
      </x:c>
      <x:c r="B209" t="str">
        <x:v>2026-07-05</x:v>
      </x:c>
      <x:c r="C209" t="str">
        <x:v>Sofia Martinez</x:v>
      </x:c>
      <x:c r="D209" t="str">
        <x:v>u2000</x:v>
      </x:c>
      <x:c r="E209" t="str">
        <x:v>Referral</x:v>
      </x:c>
      <x:c r="F209" t="str">
        <x:v>Varanasi</x:v>
      </x:c>
      <x:c r="G209" t="str">
        <x:v>Warli Painting</x:v>
      </x:c>
      <x:c r="H209" t="n">
        <x:v>10</x:v>
      </x:c>
      <x:c r="I209" t="n">
        <x:v>2000</x:v>
      </x:c>
      <x:c r="J209" t="str">
        <x:v>Completed</x:v>
      </x:c>
      <x:c r="K209" t="n">
        <x:f>H209*I209</x:f>
        <x:v>20000</x:v>
      </x:c>
      <x:c r="L209" s="16" t="n">
        <x:f>IF(J209="Completed",K209*0.80,0)</x:f>
        <x:v>16000</x:v>
      </x:c>
      <x:c r="M209" t="n">
        <x:v>4.6</x:v>
      </x:c>
      <x:c r="N209" t="str">
        <x:v>No</x:v>
      </x:c>
      <x:c r="O209" t="str">
        <x:v>Revenue / Enterprise Team</x:v>
      </x:c>
    </x:row>
    <x:row r="210">
      <x:c r="A210" t="str">
        <x:v>CRB5208</x:v>
      </x:c>
      <x:c r="B210" t="str">
        <x:v>2026-07-05</x:v>
      </x:c>
      <x:c r="C210" t="str">
        <x:v>Rahul Mehta</x:v>
      </x:c>
      <x:c r="D210" t="str">
        <x:v>u2005</x:v>
      </x:c>
      <x:c r="E210" t="str">
        <x:v>Instagram</x:v>
      </x:c>
      <x:c r="F210" t="str">
        <x:v>Khurja</x:v>
      </x:c>
      <x:c r="G210" t="str">
        <x:v>Block Printing</x:v>
      </x:c>
      <x:c r="H210" t="n">
        <x:v>10</x:v>
      </x:c>
      <x:c r="I210" t="n">
        <x:v>1500</x:v>
      </x:c>
      <x:c r="J210" t="str">
        <x:v>Completed</x:v>
      </x:c>
      <x:c r="K210" t="n">
        <x:f>H210*I210</x:f>
        <x:v>15000</x:v>
      </x:c>
      <x:c r="L210" s="16" t="n">
        <x:f>IF(J210="Completed",K210*0.80,0)</x:f>
        <x:v>12000</x:v>
      </x:c>
      <x:c r="M210" t="n">
        <x:v>4.4</x:v>
      </x:c>
      <x:c r="N210" t="str">
        <x:v>No</x:v>
      </x:c>
      <x:c r="O210" t="str">
        <x:v>Revenue / Enterprise Team</x:v>
      </x:c>
    </x:row>
    <x:row r="211">
      <x:c r="A211" t="str">
        <x:v>CRB5209</x:v>
      </x:c>
      <x:c r="B211" t="str">
        <x:v>2026-07-05</x:v>
      </x:c>
      <x:c r="C211" t="str">
        <x:v>Priya Sharma</x:v>
      </x:c>
      <x:c r="D211" t="str">
        <x:v>u2014</x:v>
      </x:c>
      <x:c r="E211" t="str">
        <x:v>Direct</x:v>
      </x:c>
      <x:c r="F211" t="str">
        <x:v>Bangalore</x:v>
      </x:c>
      <x:c r="G211" t="str">
        <x:v>Block Printing</x:v>
      </x:c>
      <x:c r="H211" t="n">
        <x:v>2</x:v>
      </x:c>
      <x:c r="I211" t="n">
        <x:v>2200</x:v>
      </x:c>
      <x:c r="J211" t="str">
        <x:v>Completed</x:v>
      </x:c>
      <x:c r="K211" t="n">
        <x:f>H211*I211</x:f>
        <x:v>4400</x:v>
      </x:c>
      <x:c r="L211" s="16" t="n">
        <x:f>IF(J211="Completed",K211*0.80,0)</x:f>
        <x:v>3520</x:v>
      </x:c>
      <x:c r="M211" t="n">
        <x:v>4.3</x:v>
      </x:c>
      <x:c r="N211" t="str">
        <x:v>Yes</x:v>
      </x:c>
      <x:c r="O211" t="str">
        <x:v>Traveler Success</x:v>
      </x:c>
    </x:row>
    <x:row r="212">
      <x:c r="A212" t="str">
        <x:v>CRB5210</x:v>
      </x:c>
      <x:c r="B212" t="str">
        <x:v>2026-07-05</x:v>
      </x:c>
      <x:c r="C212" t="str">
        <x:v>Rahul Mehta</x:v>
      </x:c>
      <x:c r="D212" t="str">
        <x:v>u2015</x:v>
      </x:c>
      <x:c r="E212" t="str">
        <x:v>Direct</x:v>
      </x:c>
      <x:c r="F212" t="str">
        <x:v>Varanasi</x:v>
      </x:c>
      <x:c r="G212" t="str">
        <x:v>Pottery</x:v>
      </x:c>
      <x:c r="H212" t="n">
        <x:v>12</x:v>
      </x:c>
      <x:c r="I212" t="n">
        <x:v>3500</x:v>
      </x:c>
      <x:c r="J212" t="str">
        <x:v>Completed</x:v>
      </x:c>
      <x:c r="K212" t="n">
        <x:f>H212*I212</x:f>
        <x:v>42000</x:v>
      </x:c>
      <x:c r="L212" s="16" t="n">
        <x:f>IF(J212="Completed",K212*0.80,0)</x:f>
        <x:v>33600</x:v>
      </x:c>
      <x:c r="M212" t="n">
        <x:v>4.6</x:v>
      </x:c>
      <x:c r="N212" t="str">
        <x:v>No</x:v>
      </x:c>
      <x:c r="O212" t="str">
        <x:v>Customer Success</x:v>
      </x:c>
    </x:row>
    <x:row r="213">
      <x:c r="A213" t="str">
        <x:v>CRB5211</x:v>
      </x:c>
      <x:c r="B213" t="str">
        <x:v>2026-07-05</x:v>
      </x:c>
      <x:c r="C213" t="str">
        <x:v>Priya Sharma</x:v>
      </x:c>
      <x:c r="D213" t="str">
        <x:v>u2016</x:v>
      </x:c>
      <x:c r="E213" t="str">
        <x:v>Direct</x:v>
      </x:c>
      <x:c r="F213" t="str">
        <x:v>Khurja</x:v>
      </x:c>
      <x:c r="G213" t="str">
        <x:v>Warli Painting</x:v>
      </x:c>
      <x:c r="H213" t="n">
        <x:v>10</x:v>
      </x:c>
      <x:c r="I213" t="n">
        <x:v>2500</x:v>
      </x:c>
      <x:c r="J213" t="str">
        <x:v>Completed</x:v>
      </x:c>
      <x:c r="K213" t="n">
        <x:f>H213*I213</x:f>
        <x:v>25000</x:v>
      </x:c>
      <x:c r="L213" s="16" t="n">
        <x:f>IF(J213="Completed",K213*0.80,0)</x:f>
        <x:v>20000</x:v>
      </x:c>
      <x:c r="M213" t="n">
        <x:v>4.1</x:v>
      </x:c>
      <x:c r="N213" t="str">
        <x:v>Yes</x:v>
      </x:c>
      <x:c r="O213" t="str">
        <x:v>Revenue / Enterprise Team</x:v>
      </x:c>
    </x:row>
    <x:row r="214">
      <x:c r="A214" t="str">
        <x:v>CRB5212</x:v>
      </x:c>
      <x:c r="B214" t="str">
        <x:v>2026-07-05</x:v>
      </x:c>
      <x:c r="C214" t="str">
        <x:v>Priya Sharma</x:v>
      </x:c>
      <x:c r="D214" t="str">
        <x:v>u2019</x:v>
      </x:c>
      <x:c r="E214" t="str">
        <x:v>Referral</x:v>
      </x:c>
      <x:c r="F214" t="str">
        <x:v>Udaipur</x:v>
      </x:c>
      <x:c r="G214" t="str">
        <x:v>Weaving</x:v>
      </x:c>
      <x:c r="H214" t="n">
        <x:v>4</x:v>
      </x:c>
      <x:c r="I214" t="n">
        <x:v>2500</x:v>
      </x:c>
      <x:c r="J214" t="str">
        <x:v>Completed</x:v>
      </x:c>
      <x:c r="K214" t="n">
        <x:f>H214*I214</x:f>
        <x:v>10000</x:v>
      </x:c>
      <x:c r="L214" s="16" t="n">
        <x:f>IF(J214="Completed",K214*0.80,0)</x:f>
        <x:v>8000</x:v>
      </x:c>
      <x:c r="M214" t="n">
        <x:v>4.8</x:v>
      </x:c>
      <x:c r="N214" t="str">
        <x:v>No</x:v>
      </x:c>
      <x:c r="O214" t="str">
        <x:v>Traveler Success</x:v>
      </x:c>
    </x:row>
    <x:row r="215">
      <x:c r="A215" t="str">
        <x:v>CRB5213</x:v>
      </x:c>
      <x:c r="B215" t="str">
        <x:v>2026-07-05</x:v>
      </x:c>
      <x:c r="C215" t="str">
        <x:v>Sofia Martinez</x:v>
      </x:c>
      <x:c r="D215" t="str">
        <x:v>u2021</x:v>
      </x:c>
      <x:c r="E215" t="str">
        <x:v>Travel Blog</x:v>
      </x:c>
      <x:c r="F215" t="str">
        <x:v>Bangalore</x:v>
      </x:c>
      <x:c r="G215" t="str">
        <x:v>Warli Painting</x:v>
      </x:c>
      <x:c r="H215" t="n">
        <x:v>1</x:v>
      </x:c>
      <x:c r="I215" t="n">
        <x:v>2000</x:v>
      </x:c>
      <x:c r="J215" t="str">
        <x:v>Completed</x:v>
      </x:c>
      <x:c r="K215" t="n">
        <x:f>H215*I215</x:f>
        <x:v>2000</x:v>
      </x:c>
      <x:c r="L215" s="16" t="n">
        <x:f>IF(J215="Completed",K215*0.80,0)</x:f>
        <x:v>1600</x:v>
      </x:c>
      <x:c r="M215" t="n">
        <x:v>4.5</x:v>
      </x:c>
      <x:c r="N215" t="str">
        <x:v>Yes</x:v>
      </x:c>
      <x:c r="O215" t="str">
        <x:v>Revenue / Enterprise Team</x:v>
      </x:c>
    </x:row>
    <x:row r="216">
      <x:c r="A216" t="str">
        <x:v>CRB5214</x:v>
      </x:c>
      <x:c r="B216" t="str">
        <x:v>2026-07-05</x:v>
      </x:c>
      <x:c r="C216" t="str">
        <x:v>Sofia Martinez</x:v>
      </x:c>
      <x:c r="D216" t="str">
        <x:v>u2038</x:v>
      </x:c>
      <x:c r="E216" t="str">
        <x:v>Referral</x:v>
      </x:c>
      <x:c r="F216" t="str">
        <x:v>Bangalore</x:v>
      </x:c>
      <x:c r="G216" t="str">
        <x:v>Pottery</x:v>
      </x:c>
      <x:c r="H216" t="n">
        <x:v>3</x:v>
      </x:c>
      <x:c r="I216" t="n">
        <x:v>3500</x:v>
      </x:c>
      <x:c r="J216" t="str">
        <x:v>Completed</x:v>
      </x:c>
      <x:c r="K216" t="n">
        <x:f>H216*I216</x:f>
        <x:v>10500</x:v>
      </x:c>
      <x:c r="L216" s="16" t="n">
        <x:f>IF(J216="Completed",K216*0.80,0)</x:f>
        <x:v>8400</x:v>
      </x:c>
      <x:c r="M216" t="n">
        <x:v>4.5</x:v>
      </x:c>
      <x:c r="N216" t="str">
        <x:v>No</x:v>
      </x:c>
      <x:c r="O216" t="str">
        <x:v>Revenue / Enterprise Team</x:v>
      </x:c>
    </x:row>
    <x:row r="217">
      <x:c r="A217" t="str">
        <x:v>CRB5215</x:v>
      </x:c>
      <x:c r="B217" t="str">
        <x:v>2026-07-05</x:v>
      </x:c>
      <x:c r="C217" t="str">
        <x:v>Priya Sharma</x:v>
      </x:c>
      <x:c r="D217" t="str">
        <x:v>u2040</x:v>
      </x:c>
      <x:c r="E217" t="str">
        <x:v>Referral</x:v>
      </x:c>
      <x:c r="F217" t="str">
        <x:v>Bangalore</x:v>
      </x:c>
      <x:c r="G217" t="str">
        <x:v>Pottery</x:v>
      </x:c>
      <x:c r="H217" t="n">
        <x:v>1</x:v>
      </x:c>
      <x:c r="I217" t="n">
        <x:v>1500</x:v>
      </x:c>
      <x:c r="J217" t="str">
        <x:v>Completed</x:v>
      </x:c>
      <x:c r="K217" t="n">
        <x:f>H217*I217</x:f>
        <x:v>1500</x:v>
      </x:c>
      <x:c r="L217" s="16" t="n">
        <x:f>IF(J217="Completed",K217*0.80,0)</x:f>
        <x:v>1200</x:v>
      </x:c>
      <x:c r="M217" t="n">
        <x:v>4.5</x:v>
      </x:c>
      <x:c r="N217" t="str">
        <x:v>No</x:v>
      </x:c>
      <x:c r="O217" t="str">
        <x:v>Customer Success</x:v>
      </x:c>
    </x:row>
    <x:row r="218">
      <x:c r="A218" t="str">
        <x:v>CRB5216</x:v>
      </x:c>
      <x:c r="B218" t="str">
        <x:v>2026-07-05</x:v>
      </x:c>
      <x:c r="C218" t="str">
        <x:v>Ananya Reddy</x:v>
      </x:c>
      <x:c r="D218" t="str">
        <x:v>u2043</x:v>
      </x:c>
      <x:c r="E218" t="str">
        <x:v>Direct</x:v>
      </x:c>
      <x:c r="F218" t="str">
        <x:v>Varanasi</x:v>
      </x:c>
      <x:c r="G218" t="str">
        <x:v>Blue Pottery</x:v>
      </x:c>
      <x:c r="H218" t="n">
        <x:v>6</x:v>
      </x:c>
      <x:c r="I218" t="n">
        <x:v>2000</x:v>
      </x:c>
      <x:c r="J218" t="str">
        <x:v>Completed</x:v>
      </x:c>
      <x:c r="K218" t="n">
        <x:f>H218*I218</x:f>
        <x:v>12000</x:v>
      </x:c>
      <x:c r="L218" s="16" t="n">
        <x:f>IF(J218="Completed",K218*0.80,0)</x:f>
        <x:v>9600</x:v>
      </x:c>
      <x:c r="M218" t="n">
        <x:v>4.8</x:v>
      </x:c>
      <x:c r="N218" t="str">
        <x:v>No</x:v>
      </x:c>
      <x:c r="O218" t="str">
        <x:v>Traveler Success</x:v>
      </x:c>
    </x:row>
    <x:row r="219">
      <x:c r="A219" t="str">
        <x:v>CRB5217</x:v>
      </x:c>
      <x:c r="B219" t="str">
        <x:v>2026-07-05</x:v>
      </x:c>
      <x:c r="C219" t="str">
        <x:v>Rahul Mehta</x:v>
      </x:c>
      <x:c r="D219" t="str">
        <x:v>u2044</x:v>
      </x:c>
      <x:c r="E219" t="str">
        <x:v>Google Search</x:v>
      </x:c>
      <x:c r="F219" t="str">
        <x:v>Jaipur</x:v>
      </x:c>
      <x:c r="G219" t="str">
        <x:v>Pottery</x:v>
      </x:c>
      <x:c r="H219" t="n">
        <x:v>1</x:v>
      </x:c>
      <x:c r="I219" t="n">
        <x:v>2200</x:v>
      </x:c>
      <x:c r="J219" t="str">
        <x:v>Completed</x:v>
      </x:c>
      <x:c r="K219" t="n">
        <x:f>H219*I219</x:f>
        <x:v>2200</x:v>
      </x:c>
      <x:c r="L219" s="16" t="n">
        <x:f>IF(J219="Completed",K219*0.80,0)</x:f>
        <x:v>1760</x:v>
      </x:c>
      <x:c r="M219" t="n">
        <x:v>3.9</x:v>
      </x:c>
      <x:c r="N219" t="str">
        <x:v>No</x:v>
      </x:c>
      <x:c r="O219" t="str">
        <x:v>Customer Success</x:v>
      </x:c>
    </x:row>
    <x:row r="220">
      <x:c r="A220" t="str">
        <x:v>CRB5218</x:v>
      </x:c>
      <x:c r="B220" t="str">
        <x:v>2026-07-05</x:v>
      </x:c>
      <x:c r="C220" t="str">
        <x:v>Ananya Reddy</x:v>
      </x:c>
      <x:c r="D220" t="str">
        <x:v>u2057</x:v>
      </x:c>
      <x:c r="E220" t="str">
        <x:v>Google Search</x:v>
      </x:c>
      <x:c r="F220" t="str">
        <x:v>Udaipur</x:v>
      </x:c>
      <x:c r="G220" t="str">
        <x:v>Pottery</x:v>
      </x:c>
      <x:c r="H220" t="n">
        <x:v>2</x:v>
      </x:c>
      <x:c r="I220" t="n">
        <x:v>1500</x:v>
      </x:c>
      <x:c r="J220" t="str">
        <x:v>Completed</x:v>
      </x:c>
      <x:c r="K220" t="n">
        <x:f>H220*I220</x:f>
        <x:v>3000</x:v>
      </x:c>
      <x:c r="L220" s="16" t="n">
        <x:f>IF(J220="Completed",K220*0.80,0)</x:f>
        <x:v>2400</x:v>
      </x:c>
      <x:c r="M220" t="n">
        <x:v>5</x:v>
      </x:c>
      <x:c r="N220" t="str">
        <x:v>No</x:v>
      </x:c>
      <x:c r="O220" t="str">
        <x:v>Customer Success</x:v>
      </x:c>
    </x:row>
    <x:row r="221">
      <x:c r="A221" t="str">
        <x:v>CRB5219</x:v>
      </x:c>
      <x:c r="B221" t="str">
        <x:v>2026-07-05</x:v>
      </x:c>
      <x:c r="C221" t="str">
        <x:v>Sofia Martinez</x:v>
      </x:c>
      <x:c r="D221" t="str">
        <x:v>u2068</x:v>
      </x:c>
      <x:c r="E221" t="str">
        <x:v>Google Search</x:v>
      </x:c>
      <x:c r="F221" t="str">
        <x:v>Udaipur</x:v>
      </x:c>
      <x:c r="G221" t="str">
        <x:v>Pottery</x:v>
      </x:c>
      <x:c r="H221" t="n">
        <x:v>4</x:v>
      </x:c>
      <x:c r="I221" t="n">
        <x:v>1800</x:v>
      </x:c>
      <x:c r="J221" t="str">
        <x:v>Completed</x:v>
      </x:c>
      <x:c r="K221" t="n">
        <x:f>H221*I221</x:f>
        <x:v>7200</x:v>
      </x:c>
      <x:c r="L221" s="16" t="n">
        <x:f>IF(J221="Completed",K221*0.80,0)</x:f>
        <x:v>5760</x:v>
      </x:c>
      <x:c r="M221" t="n">
        <x:v>4.2</x:v>
      </x:c>
      <x:c r="N221" t="str">
        <x:v>Yes</x:v>
      </x:c>
      <x:c r="O221" t="str">
        <x:v>Traveler Success</x:v>
      </x:c>
    </x:row>
    <x:row r="222">
      <x:c r="A222" t="str">
        <x:v>CRB5220</x:v>
      </x:c>
      <x:c r="B222" t="str">
        <x:v>2026-07-05</x:v>
      </x:c>
      <x:c r="C222" t="str">
        <x:v>Rahul Mehta</x:v>
      </x:c>
      <x:c r="D222" t="str">
        <x:v>u2070</x:v>
      </x:c>
      <x:c r="E222" t="str">
        <x:v>Google Search</x:v>
      </x:c>
      <x:c r="F222" t="str">
        <x:v>Udaipur</x:v>
      </x:c>
      <x:c r="G222" t="str">
        <x:v>Blue Pottery</x:v>
      </x:c>
      <x:c r="H222" t="n">
        <x:v>1</x:v>
      </x:c>
      <x:c r="I222" t="n">
        <x:v>1500</x:v>
      </x:c>
      <x:c r="J222" t="str">
        <x:v>Completed</x:v>
      </x:c>
      <x:c r="K222" t="n">
        <x:f>H222*I222</x:f>
        <x:v>1500</x:v>
      </x:c>
      <x:c r="L222" s="16" t="n">
        <x:f>IF(J222="Completed",K222*0.80,0)</x:f>
        <x:v>1200</x:v>
      </x:c>
      <x:c r="M222" t="n">
        <x:v>4.9</x:v>
      </x:c>
      <x:c r="N222" t="str">
        <x:v>Yes</x:v>
      </x:c>
      <x:c r="O222" t="str">
        <x:v>Traveler Success</x:v>
      </x:c>
    </x:row>
    <x:row r="223">
      <x:c r="A223" t="str">
        <x:v>CRB5221</x:v>
      </x:c>
      <x:c r="B223" t="str">
        <x:v>2026-07-05</x:v>
      </x:c>
      <x:c r="C223" t="str">
        <x:v>Rahul Mehta</x:v>
      </x:c>
      <x:c r="D223" t="str">
        <x:v>u2072</x:v>
      </x:c>
      <x:c r="E223" t="str">
        <x:v>Referral</x:v>
      </x:c>
      <x:c r="F223" t="str">
        <x:v>Khurja</x:v>
      </x:c>
      <x:c r="G223" t="str">
        <x:v>Warli Painting</x:v>
      </x:c>
      <x:c r="H223" t="n">
        <x:v>12</x:v>
      </x:c>
      <x:c r="I223" t="n">
        <x:v>2000</x:v>
      </x:c>
      <x:c r="J223" t="str">
        <x:v>Completed</x:v>
      </x:c>
      <x:c r="K223" t="n">
        <x:f>H223*I223</x:f>
        <x:v>24000</x:v>
      </x:c>
      <x:c r="L223" s="16" t="n">
        <x:f>IF(J223="Completed",K223*0.80,0)</x:f>
        <x:v>19200</x:v>
      </x:c>
      <x:c r="M223" t="n">
        <x:v>4.2</x:v>
      </x:c>
      <x:c r="N223" t="str">
        <x:v>No</x:v>
      </x:c>
      <x:c r="O223" t="str">
        <x:v>Traveler Success</x:v>
      </x:c>
    </x:row>
    <x:row r="224">
      <x:c r="A224" t="str">
        <x:v>CRB5222</x:v>
      </x:c>
      <x:c r="B224" t="str">
        <x:v>2026-07-05</x:v>
      </x:c>
      <x:c r="C224" t="str">
        <x:v>Sofia Martinez</x:v>
      </x:c>
      <x:c r="D224" t="str">
        <x:v>u2077</x:v>
      </x:c>
      <x:c r="E224" t="str">
        <x:v>Travel Blog</x:v>
      </x:c>
      <x:c r="F224" t="str">
        <x:v>Jaipur</x:v>
      </x:c>
      <x:c r="G224" t="str">
        <x:v>Pottery</x:v>
      </x:c>
      <x:c r="H224" t="n">
        <x:v>4</x:v>
      </x:c>
      <x:c r="I224" t="n">
        <x:v>1800</x:v>
      </x:c>
      <x:c r="J224" t="str">
        <x:v>Completed</x:v>
      </x:c>
      <x:c r="K224" t="n">
        <x:f>H224*I224</x:f>
        <x:v>7200</x:v>
      </x:c>
      <x:c r="L224" s="16" t="n">
        <x:f>IF(J224="Completed",K224*0.80,0)</x:f>
        <x:v>5760</x:v>
      </x:c>
      <x:c r="M224" t="n">
        <x:v>5</x:v>
      </x:c>
      <x:c r="N224" t="str">
        <x:v>Yes</x:v>
      </x:c>
      <x:c r="O224" t="str">
        <x:v>Customer Success</x:v>
      </x:c>
    </x:row>
    <x:row r="225">
      <x:c r="A225" t="str">
        <x:v>CRB5223</x:v>
      </x:c>
      <x:c r="B225" t="str">
        <x:v>2026-07-05</x:v>
      </x:c>
      <x:c r="C225" t="str">
        <x:v>Ananya Reddy</x:v>
      </x:c>
      <x:c r="D225" t="str">
        <x:v>u2078</x:v>
      </x:c>
      <x:c r="E225" t="str">
        <x:v>Referral</x:v>
      </x:c>
      <x:c r="F225" t="str">
        <x:v>Bangalore</x:v>
      </x:c>
      <x:c r="G225" t="str">
        <x:v>Blue Pottery</x:v>
      </x:c>
      <x:c r="H225" t="n">
        <x:v>2</x:v>
      </x:c>
      <x:c r="I225" t="n">
        <x:v>1500</x:v>
      </x:c>
      <x:c r="J225" t="str">
        <x:v>Completed</x:v>
      </x:c>
      <x:c r="K225" t="n">
        <x:f>H225*I225</x:f>
        <x:v>3000</x:v>
      </x:c>
      <x:c r="L225" s="16" t="n">
        <x:f>IF(J225="Completed",K225*0.80,0)</x:f>
        <x:v>2400</x:v>
      </x:c>
      <x:c r="M225" t="n">
        <x:v>4.1</x:v>
      </x:c>
      <x:c r="N225" t="str">
        <x:v>No</x:v>
      </x:c>
      <x:c r="O225" t="str">
        <x:v>Revenue / Enterprise Team</x:v>
      </x:c>
    </x:row>
    <x:row r="226">
      <x:c r="A226" t="str">
        <x:v>CRB5224</x:v>
      </x:c>
      <x:c r="B226" t="str">
        <x:v>2026-07-05</x:v>
      </x:c>
      <x:c r="C226" t="str">
        <x:v>Rahul Mehta</x:v>
      </x:c>
      <x:c r="D226" t="str">
        <x:v>u2091</x:v>
      </x:c>
      <x:c r="E226" t="str">
        <x:v>Referral</x:v>
      </x:c>
      <x:c r="F226" t="str">
        <x:v>Bangalore</x:v>
      </x:c>
      <x:c r="G226" t="str">
        <x:v>Pottery</x:v>
      </x:c>
      <x:c r="H226" t="n">
        <x:v>3</x:v>
      </x:c>
      <x:c r="I226" t="n">
        <x:v>2200</x:v>
      </x:c>
      <x:c r="J226" t="str">
        <x:v>Completed</x:v>
      </x:c>
      <x:c r="K226" t="n">
        <x:f>H226*I226</x:f>
        <x:v>6600</x:v>
      </x:c>
      <x:c r="L226" s="16" t="n">
        <x:f>IF(J226="Completed",K226*0.80,0)</x:f>
        <x:v>5280</x:v>
      </x:c>
      <x:c r="M226" t="n">
        <x:v>4.1</x:v>
      </x:c>
      <x:c r="N226" t="str">
        <x:v>No</x:v>
      </x:c>
      <x:c r="O226" t="str">
        <x:v>Traveler Success</x:v>
      </x:c>
    </x:row>
    <x:row r="227">
      <x:c r="A227" t="str">
        <x:v>CRB5225</x:v>
      </x:c>
      <x:c r="B227" t="str">
        <x:v>2026-07-05</x:v>
      </x:c>
      <x:c r="C227" t="str">
        <x:v>Sofia Martinez</x:v>
      </x:c>
      <x:c r="D227" t="str">
        <x:v>u2101</x:v>
      </x:c>
      <x:c r="E227" t="str">
        <x:v>Instagram</x:v>
      </x:c>
      <x:c r="F227" t="str">
        <x:v>Jaipur</x:v>
      </x:c>
      <x:c r="G227" t="str">
        <x:v>Blue Pottery</x:v>
      </x:c>
      <x:c r="H227" t="n">
        <x:v>2</x:v>
      </x:c>
      <x:c r="I227" t="n">
        <x:v>2200</x:v>
      </x:c>
      <x:c r="J227" t="str">
        <x:v>Completed</x:v>
      </x:c>
      <x:c r="K227" t="n">
        <x:f>H227*I227</x:f>
        <x:v>4400</x:v>
      </x:c>
      <x:c r="L227" s="16" t="n">
        <x:f>IF(J227="Completed",K227*0.80,0)</x:f>
        <x:v>3520</x:v>
      </x:c>
      <x:c r="M227" t="n">
        <x:v>4.5</x:v>
      </x:c>
      <x:c r="N227" t="str">
        <x:v>No</x:v>
      </x:c>
      <x:c r="O227" t="str">
        <x:v>Revenue / Enterprise Team</x:v>
      </x:c>
    </x:row>
    <x:row r="228">
      <x:c r="A228" t="str">
        <x:v>CRB5226</x:v>
      </x:c>
      <x:c r="B228" t="str">
        <x:v>2026-07-05</x:v>
      </x:c>
      <x:c r="C228" t="str">
        <x:v>Rahul Mehta</x:v>
      </x:c>
      <x:c r="D228" t="str">
        <x:v>u2103</x:v>
      </x:c>
      <x:c r="E228" t="str">
        <x:v>Referral</x:v>
      </x:c>
      <x:c r="F228" t="str">
        <x:v>Jaipur</x:v>
      </x:c>
      <x:c r="G228" t="str">
        <x:v>Blue Pottery</x:v>
      </x:c>
      <x:c r="H228" t="n">
        <x:v>2</x:v>
      </x:c>
      <x:c r="I228" t="n">
        <x:v>3000</x:v>
      </x:c>
      <x:c r="J228" t="str">
        <x:v>Completed</x:v>
      </x:c>
      <x:c r="K228" t="n">
        <x:f>H228*I228</x:f>
        <x:v>6000</x:v>
      </x:c>
      <x:c r="L228" s="16" t="n">
        <x:f>IF(J228="Completed",K228*0.80,0)</x:f>
        <x:v>4800</x:v>
      </x:c>
      <x:c r="M228" t="n">
        <x:v>4.8</x:v>
      </x:c>
      <x:c r="N228" t="str">
        <x:v>No</x:v>
      </x:c>
      <x:c r="O228" t="str">
        <x:v>Customer Success</x:v>
      </x:c>
    </x:row>
    <x:row r="229">
      <x:c r="A229" t="str">
        <x:v>CRB5227</x:v>
      </x:c>
      <x:c r="B229" t="str">
        <x:v>2026-07-05</x:v>
      </x:c>
      <x:c r="C229" t="str">
        <x:v>Priya Sharma</x:v>
      </x:c>
      <x:c r="D229" t="str">
        <x:v>u2105</x:v>
      </x:c>
      <x:c r="E229" t="str">
        <x:v>Travel Blog</x:v>
      </x:c>
      <x:c r="F229" t="str">
        <x:v>Varanasi</x:v>
      </x:c>
      <x:c r="G229" t="str">
        <x:v>Block Printing</x:v>
      </x:c>
      <x:c r="H229" t="n">
        <x:v>1</x:v>
      </x:c>
      <x:c r="I229" t="n">
        <x:v>3000</x:v>
      </x:c>
      <x:c r="J229" t="str">
        <x:v>No-show</x:v>
      </x:c>
      <x:c r="K229" t="n">
        <x:f>H229*I229</x:f>
        <x:v>3000</x:v>
      </x:c>
      <x:c r="L229" s="16" t="n">
        <x:f>IF(J229="Completed",K229*0.80,0)</x:f>
        <x:v>0</x:v>
      </x:c>
      <x:c r="M229" t="str"/>
      <x:c r="N229" t="str">
        <x:v>No</x:v>
      </x:c>
      <x:c r="O229" t="str">
        <x:v>Customer Success</x:v>
      </x:c>
    </x:row>
    <x:row r="230">
      <x:c r="A230" t="str">
        <x:v>CRB5228</x:v>
      </x:c>
      <x:c r="B230" t="str">
        <x:v>2026-07-05</x:v>
      </x:c>
      <x:c r="C230" t="str">
        <x:v>Sofia Martinez</x:v>
      </x:c>
      <x:c r="D230" t="str">
        <x:v>u2114</x:v>
      </x:c>
      <x:c r="E230" t="str">
        <x:v>Direct</x:v>
      </x:c>
      <x:c r="F230" t="str">
        <x:v>Bangalore</x:v>
      </x:c>
      <x:c r="G230" t="str">
        <x:v>Blue Pottery</x:v>
      </x:c>
      <x:c r="H230" t="n">
        <x:v>6</x:v>
      </x:c>
      <x:c r="I230" t="n">
        <x:v>2500</x:v>
      </x:c>
      <x:c r="J230" t="str">
        <x:v>Completed</x:v>
      </x:c>
      <x:c r="K230" t="n">
        <x:f>H230*I230</x:f>
        <x:v>15000</x:v>
      </x:c>
      <x:c r="L230" s="16" t="n">
        <x:f>IF(J230="Completed",K230*0.80,0)</x:f>
        <x:v>12000</x:v>
      </x:c>
      <x:c r="M230" t="n">
        <x:v>4.3</x:v>
      </x:c>
      <x:c r="N230" t="str">
        <x:v>Yes</x:v>
      </x:c>
      <x:c r="O230" t="str">
        <x:v>Customer Success</x:v>
      </x:c>
    </x:row>
    <x:row r="231">
      <x:c r="A231" t="str">
        <x:v>CRB5229</x:v>
      </x:c>
      <x:c r="B231" t="str">
        <x:v>2026-07-05</x:v>
      </x:c>
      <x:c r="C231" t="str">
        <x:v>Mark Thompson</x:v>
      </x:c>
      <x:c r="D231" t="str">
        <x:v>u2115</x:v>
      </x:c>
      <x:c r="E231" t="str">
        <x:v>Direct</x:v>
      </x:c>
      <x:c r="F231" t="str">
        <x:v>Varanasi</x:v>
      </x:c>
      <x:c r="G231" t="str">
        <x:v>Blue Pottery</x:v>
      </x:c>
      <x:c r="H231" t="n">
        <x:v>3</x:v>
      </x:c>
      <x:c r="I231" t="n">
        <x:v>2200</x:v>
      </x:c>
      <x:c r="J231" t="str">
        <x:v>Completed</x:v>
      </x:c>
      <x:c r="K231" t="n">
        <x:f>H231*I231</x:f>
        <x:v>6600</x:v>
      </x:c>
      <x:c r="L231" s="16" t="n">
        <x:f>IF(J231="Completed",K231*0.80,0)</x:f>
        <x:v>5280</x:v>
      </x:c>
      <x:c r="M231" t="n">
        <x:v>4.1</x:v>
      </x:c>
      <x:c r="N231" t="str">
        <x:v>No</x:v>
      </x:c>
      <x:c r="O231" t="str">
        <x:v>Traveler Success</x:v>
      </x:c>
    </x:row>
    <x:row r="232">
      <x:c r="A232" t="str">
        <x:v>CRB5230</x:v>
      </x:c>
      <x:c r="B232" t="str">
        <x:v>2026-07-05</x:v>
      </x:c>
      <x:c r="C232" t="str">
        <x:v>Priya Sharma</x:v>
      </x:c>
      <x:c r="D232" t="str">
        <x:v>u2118</x:v>
      </x:c>
      <x:c r="E232" t="str">
        <x:v>Instagram</x:v>
      </x:c>
      <x:c r="F232" t="str">
        <x:v>Udaipur</x:v>
      </x:c>
      <x:c r="G232" t="str">
        <x:v>Pottery</x:v>
      </x:c>
      <x:c r="H232" t="n">
        <x:v>10</x:v>
      </x:c>
      <x:c r="I232" t="n">
        <x:v>2200</x:v>
      </x:c>
      <x:c r="J232" t="str">
        <x:v>Completed</x:v>
      </x:c>
      <x:c r="K232" t="n">
        <x:f>H232*I232</x:f>
        <x:v>22000</x:v>
      </x:c>
      <x:c r="L232" s="16" t="n">
        <x:f>IF(J232="Completed",K232*0.80,0)</x:f>
        <x:v>17600</x:v>
      </x:c>
      <x:c r="M232" t="n">
        <x:v>3.9</x:v>
      </x:c>
      <x:c r="N232" t="str">
        <x:v>No</x:v>
      </x:c>
      <x:c r="O232" t="str">
        <x:v>Customer Success</x:v>
      </x:c>
    </x:row>
    <x:row r="233">
      <x:c r="A233" t="str">
        <x:v>CRB5231</x:v>
      </x:c>
      <x:c r="B233" t="str">
        <x:v>2026-07-05</x:v>
      </x:c>
      <x:c r="C233" t="str">
        <x:v>Priya Sharma</x:v>
      </x:c>
      <x:c r="D233" t="str">
        <x:v>u2122</x:v>
      </x:c>
      <x:c r="E233" t="str">
        <x:v>Referral</x:v>
      </x:c>
      <x:c r="F233" t="str">
        <x:v>Jaipur</x:v>
      </x:c>
      <x:c r="G233" t="str">
        <x:v>Warli Painting</x:v>
      </x:c>
      <x:c r="H233" t="n">
        <x:v>2</x:v>
      </x:c>
      <x:c r="I233" t="n">
        <x:v>3000</x:v>
      </x:c>
      <x:c r="J233" t="str">
        <x:v>Completed</x:v>
      </x:c>
      <x:c r="K233" t="n">
        <x:f>H233*I233</x:f>
        <x:v>6000</x:v>
      </x:c>
      <x:c r="L233" s="16" t="n">
        <x:f>IF(J233="Completed",K233*0.80,0)</x:f>
        <x:v>4800</x:v>
      </x:c>
      <x:c r="M233" t="n">
        <x:v>4.8</x:v>
      </x:c>
      <x:c r="N233" t="str">
        <x:v>Yes</x:v>
      </x:c>
      <x:c r="O233" t="str">
        <x:v>Revenue / Enterprise Team</x:v>
      </x:c>
    </x:row>
    <x:row r="234">
      <x:c r="A234" t="str">
        <x:v>CRB5232</x:v>
      </x:c>
      <x:c r="B234" t="str">
        <x:v>2026-07-05</x:v>
      </x:c>
      <x:c r="C234" t="str">
        <x:v>Rahul Mehta</x:v>
      </x:c>
      <x:c r="D234" t="str">
        <x:v>u2123</x:v>
      </x:c>
      <x:c r="E234" t="str">
        <x:v>Direct</x:v>
      </x:c>
      <x:c r="F234" t="str">
        <x:v>Jaipur</x:v>
      </x:c>
      <x:c r="G234" t="str">
        <x:v>Warli Painting</x:v>
      </x:c>
      <x:c r="H234" t="n">
        <x:v>3</x:v>
      </x:c>
      <x:c r="I234" t="n">
        <x:v>2000</x:v>
      </x:c>
      <x:c r="J234" t="str">
        <x:v>Completed</x:v>
      </x:c>
      <x:c r="K234" t="n">
        <x:f>H234*I234</x:f>
        <x:v>6000</x:v>
      </x:c>
      <x:c r="L234" s="16" t="n">
        <x:f>IF(J234="Completed",K234*0.80,0)</x:f>
        <x:v>4800</x:v>
      </x:c>
      <x:c r="M234" t="n">
        <x:v>4.3</x:v>
      </x:c>
      <x:c r="N234" t="str">
        <x:v>No</x:v>
      </x:c>
      <x:c r="O234" t="str">
        <x:v>Revenue / Enterprise Team</x:v>
      </x:c>
    </x:row>
    <x:row r="235">
      <x:c r="A235" t="str">
        <x:v>CRB5233</x:v>
      </x:c>
      <x:c r="B235" t="str">
        <x:v>2026-07-05</x:v>
      </x:c>
      <x:c r="C235" t="str">
        <x:v>Rahul Mehta</x:v>
      </x:c>
      <x:c r="D235" t="str">
        <x:v>u2126</x:v>
      </x:c>
      <x:c r="E235" t="str">
        <x:v>Referral</x:v>
      </x:c>
      <x:c r="F235" t="str">
        <x:v>Varanasi</x:v>
      </x:c>
      <x:c r="G235" t="str">
        <x:v>Warli Painting</x:v>
      </x:c>
      <x:c r="H235" t="n">
        <x:v>10</x:v>
      </x:c>
      <x:c r="I235" t="n">
        <x:v>2000</x:v>
      </x:c>
      <x:c r="J235" t="str">
        <x:v>Completed</x:v>
      </x:c>
      <x:c r="K235" t="n">
        <x:f>H235*I235</x:f>
        <x:v>20000</x:v>
      </x:c>
      <x:c r="L235" s="16" t="n">
        <x:f>IF(J235="Completed",K235*0.80,0)</x:f>
        <x:v>16000</x:v>
      </x:c>
      <x:c r="M235" t="n">
        <x:v>4.7</x:v>
      </x:c>
      <x:c r="N235" t="str">
        <x:v>No</x:v>
      </x:c>
      <x:c r="O235" t="str">
        <x:v>Traveler Success</x:v>
      </x:c>
    </x:row>
    <x:row r="236">
      <x:c r="A236" t="str">
        <x:v>CRB5234</x:v>
      </x:c>
      <x:c r="B236" t="str">
        <x:v>2026-07-05</x:v>
      </x:c>
      <x:c r="C236" t="str">
        <x:v>Rahul Mehta</x:v>
      </x:c>
      <x:c r="D236" t="str">
        <x:v>u2133</x:v>
      </x:c>
      <x:c r="E236" t="str">
        <x:v>Direct</x:v>
      </x:c>
      <x:c r="F236" t="str">
        <x:v>Varanasi</x:v>
      </x:c>
      <x:c r="G236" t="str">
        <x:v>Weaving</x:v>
      </x:c>
      <x:c r="H236" t="n">
        <x:v>2</x:v>
      </x:c>
      <x:c r="I236" t="n">
        <x:v>3000</x:v>
      </x:c>
      <x:c r="J236" t="str">
        <x:v>Completed</x:v>
      </x:c>
      <x:c r="K236" t="n">
        <x:f>H236*I236</x:f>
        <x:v>6000</x:v>
      </x:c>
      <x:c r="L236" s="16" t="n">
        <x:f>IF(J236="Completed",K236*0.80,0)</x:f>
        <x:v>4800</x:v>
      </x:c>
      <x:c r="M236" t="n">
        <x:v>4.9</x:v>
      </x:c>
      <x:c r="N236" t="str">
        <x:v>No</x:v>
      </x:c>
      <x:c r="O236" t="str">
        <x:v>Revenue / Enterprise Team</x:v>
      </x:c>
    </x:row>
    <x:row r="237">
      <x:c r="A237" t="str">
        <x:v>CRB5235</x:v>
      </x:c>
      <x:c r="B237" t="str">
        <x:v>2026-07-05</x:v>
      </x:c>
      <x:c r="C237" t="str">
        <x:v>Rahul Mehta</x:v>
      </x:c>
      <x:c r="D237" t="str">
        <x:v>u2134</x:v>
      </x:c>
      <x:c r="E237" t="str">
        <x:v>Referral</x:v>
      </x:c>
      <x:c r="F237" t="str">
        <x:v>Udaipur</x:v>
      </x:c>
      <x:c r="G237" t="str">
        <x:v>Pottery</x:v>
      </x:c>
      <x:c r="H237" t="n">
        <x:v>10</x:v>
      </x:c>
      <x:c r="I237" t="n">
        <x:v>3000</x:v>
      </x:c>
      <x:c r="J237" t="str">
        <x:v>Completed</x:v>
      </x:c>
      <x:c r="K237" t="n">
        <x:f>H237*I237</x:f>
        <x:v>30000</x:v>
      </x:c>
      <x:c r="L237" s="16" t="n">
        <x:f>IF(J237="Completed",K237*0.80,0)</x:f>
        <x:v>24000</x:v>
      </x:c>
      <x:c r="M237" t="n">
        <x:v>4.4</x:v>
      </x:c>
      <x:c r="N237" t="str">
        <x:v>No</x:v>
      </x:c>
      <x:c r="O237" t="str">
        <x:v>Traveler Success</x:v>
      </x:c>
    </x:row>
    <x:row r="238">
      <x:c r="A238" t="str">
        <x:v>CRB5236</x:v>
      </x:c>
      <x:c r="B238" t="str">
        <x:v>2026-07-05</x:v>
      </x:c>
      <x:c r="C238" t="str">
        <x:v>Rahul Mehta</x:v>
      </x:c>
      <x:c r="D238" t="str">
        <x:v>u2141</x:v>
      </x:c>
      <x:c r="E238" t="str">
        <x:v>Direct</x:v>
      </x:c>
      <x:c r="F238" t="str">
        <x:v>Bangalore</x:v>
      </x:c>
      <x:c r="G238" t="str">
        <x:v>Warli Painting</x:v>
      </x:c>
      <x:c r="H238" t="n">
        <x:v>2</x:v>
      </x:c>
      <x:c r="I238" t="n">
        <x:v>3000</x:v>
      </x:c>
      <x:c r="J238" t="str">
        <x:v>Completed</x:v>
      </x:c>
      <x:c r="K238" t="n">
        <x:f>H238*I238</x:f>
        <x:v>6000</x:v>
      </x:c>
      <x:c r="L238" s="16" t="n">
        <x:f>IF(J238="Completed",K238*0.80,0)</x:f>
        <x:v>4800</x:v>
      </x:c>
      <x:c r="M238" t="n">
        <x:v>3.9</x:v>
      </x:c>
      <x:c r="N238" t="str">
        <x:v>No</x:v>
      </x:c>
      <x:c r="O238" t="str">
        <x:v>Customer Success</x:v>
      </x:c>
    </x:row>
    <x:row r="239">
      <x:c r="A239" t="str">
        <x:v>CRB5237</x:v>
      </x:c>
      <x:c r="B239" t="str">
        <x:v>2026-07-05</x:v>
      </x:c>
      <x:c r="C239" t="str">
        <x:v>Sofia Martinez</x:v>
      </x:c>
      <x:c r="D239" t="str">
        <x:v>u2143</x:v>
      </x:c>
      <x:c r="E239" t="str">
        <x:v>Instagram</x:v>
      </x:c>
      <x:c r="F239" t="str">
        <x:v>Jaipur</x:v>
      </x:c>
      <x:c r="G239" t="str">
        <x:v>Block Printing</x:v>
      </x:c>
      <x:c r="H239" t="n">
        <x:v>2</x:v>
      </x:c>
      <x:c r="I239" t="n">
        <x:v>2000</x:v>
      </x:c>
      <x:c r="J239" t="str">
        <x:v>Completed</x:v>
      </x:c>
      <x:c r="K239" t="n">
        <x:f>H239*I239</x:f>
        <x:v>4000</x:v>
      </x:c>
      <x:c r="L239" s="16" t="n">
        <x:f>IF(J239="Completed",K239*0.80,0)</x:f>
        <x:v>3200</x:v>
      </x:c>
      <x:c r="M239" t="n">
        <x:v>4.5</x:v>
      </x:c>
      <x:c r="N239" t="str">
        <x:v>No</x:v>
      </x:c>
      <x:c r="O239" t="str">
        <x:v>Revenue / Enterprise Team</x:v>
      </x:c>
    </x:row>
    <x:row r="240">
      <x:c r="A240" t="str">
        <x:v>CRB5238</x:v>
      </x:c>
      <x:c r="B240" t="str">
        <x:v>2026-07-05</x:v>
      </x:c>
      <x:c r="C240" t="str">
        <x:v>Priya Sharma</x:v>
      </x:c>
      <x:c r="D240" t="str">
        <x:v>u2146</x:v>
      </x:c>
      <x:c r="E240" t="str">
        <x:v>Travel Blog</x:v>
      </x:c>
      <x:c r="F240" t="str">
        <x:v>Khurja</x:v>
      </x:c>
      <x:c r="G240" t="str">
        <x:v>Warli Painting</x:v>
      </x:c>
      <x:c r="H240" t="n">
        <x:v>12</x:v>
      </x:c>
      <x:c r="I240" t="n">
        <x:v>1500</x:v>
      </x:c>
      <x:c r="J240" t="str">
        <x:v>Completed</x:v>
      </x:c>
      <x:c r="K240" t="n">
        <x:f>H240*I240</x:f>
        <x:v>18000</x:v>
      </x:c>
      <x:c r="L240" s="16" t="n">
        <x:f>IF(J240="Completed",K240*0.80,0)</x:f>
        <x:v>14400</x:v>
      </x:c>
      <x:c r="M240" t="n">
        <x:v>4.2</x:v>
      </x:c>
      <x:c r="N240" t="str">
        <x:v>No</x:v>
      </x:c>
      <x:c r="O240" t="str">
        <x:v>Traveler Success</x:v>
      </x:c>
    </x:row>
    <x:row r="241">
      <x:c r="A241" t="str">
        <x:v>CRB5239</x:v>
      </x:c>
      <x:c r="B241" t="str">
        <x:v>2026-07-06</x:v>
      </x:c>
      <x:c r="C241" t="str">
        <x:v>Rahul Mehta</x:v>
      </x:c>
      <x:c r="D241" t="str">
        <x:v>u2147</x:v>
      </x:c>
      <x:c r="E241" t="str">
        <x:v>Referral</x:v>
      </x:c>
      <x:c r="F241" t="str">
        <x:v>Bangalore</x:v>
      </x:c>
      <x:c r="G241" t="str">
        <x:v>Weaving</x:v>
      </x:c>
      <x:c r="H241" t="n">
        <x:v>6</x:v>
      </x:c>
      <x:c r="I241" t="n">
        <x:v>2000</x:v>
      </x:c>
      <x:c r="J241" t="str">
        <x:v>Completed</x:v>
      </x:c>
      <x:c r="K241" t="n">
        <x:f>H241*I241</x:f>
        <x:v>12000</x:v>
      </x:c>
      <x:c r="L241" s="16" t="n">
        <x:f>IF(J241="Completed",K241*0.80,0)</x:f>
        <x:v>9600</x:v>
      </x:c>
      <x:c r="M241" t="n">
        <x:v>4</x:v>
      </x:c>
      <x:c r="N241" t="str">
        <x:v>No</x:v>
      </x:c>
      <x:c r="O241" t="str">
        <x:v>Traveler Success</x:v>
      </x:c>
    </x:row>
    <x:row r="242">
      <x:c r="A242" t="str">
        <x:v>CRB5240</x:v>
      </x:c>
      <x:c r="B242" t="str">
        <x:v>2026-07-06</x:v>
      </x:c>
      <x:c r="C242" t="str">
        <x:v>Priya Sharma</x:v>
      </x:c>
      <x:c r="D242" t="str">
        <x:v>u2160</x:v>
      </x:c>
      <x:c r="E242" t="str">
        <x:v>Google Search</x:v>
      </x:c>
      <x:c r="F242" t="str">
        <x:v>Jaipur</x:v>
      </x:c>
      <x:c r="G242" t="str">
        <x:v>Weaving</x:v>
      </x:c>
      <x:c r="H242" t="n">
        <x:v>12</x:v>
      </x:c>
      <x:c r="I242" t="n">
        <x:v>1500</x:v>
      </x:c>
      <x:c r="J242" t="str">
        <x:v>Completed</x:v>
      </x:c>
      <x:c r="K242" t="n">
        <x:f>H242*I242</x:f>
        <x:v>18000</x:v>
      </x:c>
      <x:c r="L242" s="16" t="n">
        <x:f>IF(J242="Completed",K242*0.80,0)</x:f>
        <x:v>14400</x:v>
      </x:c>
      <x:c r="M242" t="n">
        <x:v>4.3</x:v>
      </x:c>
      <x:c r="N242" t="str">
        <x:v>No</x:v>
      </x:c>
      <x:c r="O242" t="str">
        <x:v>Traveler Success</x:v>
      </x:c>
    </x:row>
    <x:row r="243">
      <x:c r="A243" t="str">
        <x:v>CRB5241</x:v>
      </x:c>
      <x:c r="B243" t="str">
        <x:v>2026-07-06</x:v>
      </x:c>
      <x:c r="C243" t="str">
        <x:v>Ananya Reddy</x:v>
      </x:c>
      <x:c r="D243" t="str">
        <x:v>u2163</x:v>
      </x:c>
      <x:c r="E243" t="str">
        <x:v>Direct</x:v>
      </x:c>
      <x:c r="F243" t="str">
        <x:v>Khurja</x:v>
      </x:c>
      <x:c r="G243" t="str">
        <x:v>Weaving</x:v>
      </x:c>
      <x:c r="H243" t="n">
        <x:v>4</x:v>
      </x:c>
      <x:c r="I243" t="n">
        <x:v>2200</x:v>
      </x:c>
      <x:c r="J243" t="str">
        <x:v>Completed</x:v>
      </x:c>
      <x:c r="K243" t="n">
        <x:f>H243*I243</x:f>
        <x:v>8800</x:v>
      </x:c>
      <x:c r="L243" s="16" t="n">
        <x:f>IF(J243="Completed",K243*0.80,0)</x:f>
        <x:v>7040</x:v>
      </x:c>
      <x:c r="M243" t="n">
        <x:v>5</x:v>
      </x:c>
      <x:c r="N243" t="str">
        <x:v>Yes</x:v>
      </x:c>
      <x:c r="O243" t="str">
        <x:v>Revenue / Enterprise Team</x:v>
      </x:c>
    </x:row>
    <x:row r="244">
      <x:c r="A244" t="str">
        <x:v>CRB5242</x:v>
      </x:c>
      <x:c r="B244" t="str">
        <x:v>2026-07-06</x:v>
      </x:c>
      <x:c r="C244" t="str">
        <x:v>Mark Thompson</x:v>
      </x:c>
      <x:c r="D244" t="str">
        <x:v>u2165</x:v>
      </x:c>
      <x:c r="E244" t="str">
        <x:v>Referral</x:v>
      </x:c>
      <x:c r="F244" t="str">
        <x:v>Udaipur</x:v>
      </x:c>
      <x:c r="G244" t="str">
        <x:v>Block Printing</x:v>
      </x:c>
      <x:c r="H244" t="n">
        <x:v>3</x:v>
      </x:c>
      <x:c r="I244" t="n">
        <x:v>2200</x:v>
      </x:c>
      <x:c r="J244" t="str">
        <x:v>Completed</x:v>
      </x:c>
      <x:c r="K244" t="n">
        <x:f>H244*I244</x:f>
        <x:v>6600</x:v>
      </x:c>
      <x:c r="L244" s="16" t="n">
        <x:f>IF(J244="Completed",K244*0.80,0)</x:f>
        <x:v>5280</x:v>
      </x:c>
      <x:c r="M244" t="n">
        <x:v>4.9</x:v>
      </x:c>
      <x:c r="N244" t="str">
        <x:v>Yes</x:v>
      </x:c>
      <x:c r="O244" t="str">
        <x:v>Customer Success</x:v>
      </x:c>
    </x:row>
    <x:row r="245">
      <x:c r="A245" t="str">
        <x:v>CRB5243</x:v>
      </x:c>
      <x:c r="B245" t="str">
        <x:v>2026-07-06</x:v>
      </x:c>
      <x:c r="C245" t="str">
        <x:v>Rahul Mehta</x:v>
      </x:c>
      <x:c r="D245" t="str">
        <x:v>u2166</x:v>
      </x:c>
      <x:c r="E245" t="str">
        <x:v>Travel Blog</x:v>
      </x:c>
      <x:c r="F245" t="str">
        <x:v>Bangalore</x:v>
      </x:c>
      <x:c r="G245" t="str">
        <x:v>Blue Pottery</x:v>
      </x:c>
      <x:c r="H245" t="n">
        <x:v>1</x:v>
      </x:c>
      <x:c r="I245" t="n">
        <x:v>2000</x:v>
      </x:c>
      <x:c r="J245" t="str">
        <x:v>Completed</x:v>
      </x:c>
      <x:c r="K245" t="n">
        <x:f>H245*I245</x:f>
        <x:v>2000</x:v>
      </x:c>
      <x:c r="L245" s="16" t="n">
        <x:f>IF(J245="Completed",K245*0.80,0)</x:f>
        <x:v>1600</x:v>
      </x:c>
      <x:c r="M245" t="n">
        <x:v>3.9</x:v>
      </x:c>
      <x:c r="N245" t="str">
        <x:v>No</x:v>
      </x:c>
      <x:c r="O245" t="str">
        <x:v>Customer Success</x:v>
      </x:c>
    </x:row>
    <x:row r="246">
      <x:c r="A246" t="str">
        <x:v>CRB5244</x:v>
      </x:c>
      <x:c r="B246" t="str">
        <x:v>2026-07-06</x:v>
      </x:c>
      <x:c r="C246" t="str">
        <x:v>Rahul Mehta</x:v>
      </x:c>
      <x:c r="D246" t="str">
        <x:v>u2168</x:v>
      </x:c>
      <x:c r="E246" t="str">
        <x:v>Google Search</x:v>
      </x:c>
      <x:c r="F246" t="str">
        <x:v>Khurja</x:v>
      </x:c>
      <x:c r="G246" t="str">
        <x:v>Weaving</x:v>
      </x:c>
      <x:c r="H246" t="n">
        <x:v>10</x:v>
      </x:c>
      <x:c r="I246" t="n">
        <x:v>2500</x:v>
      </x:c>
      <x:c r="J246" t="str">
        <x:v>Completed</x:v>
      </x:c>
      <x:c r="K246" t="n">
        <x:f>H246*I246</x:f>
        <x:v>25000</x:v>
      </x:c>
      <x:c r="L246" s="16" t="n">
        <x:f>IF(J246="Completed",K246*0.80,0)</x:f>
        <x:v>20000</x:v>
      </x:c>
      <x:c r="M246" t="n">
        <x:v>4.4</x:v>
      </x:c>
      <x:c r="N246" t="str">
        <x:v>No</x:v>
      </x:c>
      <x:c r="O246" t="str">
        <x:v>Revenue / Enterprise Team</x:v>
      </x:c>
    </x:row>
    <x:row r="247">
      <x:c r="A247" t="str">
        <x:v>CRB5245</x:v>
      </x:c>
      <x:c r="B247" t="str">
        <x:v>2026-07-06</x:v>
      </x:c>
      <x:c r="C247" t="str">
        <x:v>Rahul Mehta</x:v>
      </x:c>
      <x:c r="D247" t="str">
        <x:v>u2171</x:v>
      </x:c>
      <x:c r="E247" t="str">
        <x:v>Google Search</x:v>
      </x:c>
      <x:c r="F247" t="str">
        <x:v>Bangalore</x:v>
      </x:c>
      <x:c r="G247" t="str">
        <x:v>Warli Painting</x:v>
      </x:c>
      <x:c r="H247" t="n">
        <x:v>2</x:v>
      </x:c>
      <x:c r="I247" t="n">
        <x:v>2000</x:v>
      </x:c>
      <x:c r="J247" t="str">
        <x:v>Completed</x:v>
      </x:c>
      <x:c r="K247" t="n">
        <x:f>H247*I247</x:f>
        <x:v>4000</x:v>
      </x:c>
      <x:c r="L247" s="16" t="n">
        <x:f>IF(J247="Completed",K247*0.80,0)</x:f>
        <x:v>3200</x:v>
      </x:c>
      <x:c r="M247" t="n">
        <x:v>4.8</x:v>
      </x:c>
      <x:c r="N247" t="str">
        <x:v>No</x:v>
      </x:c>
      <x:c r="O247" t="str">
        <x:v>Customer Success</x:v>
      </x:c>
    </x:row>
    <x:row r="248">
      <x:c r="A248" t="str">
        <x:v>CRB5246</x:v>
      </x:c>
      <x:c r="B248" t="str">
        <x:v>2026-07-06</x:v>
      </x:c>
      <x:c r="C248" t="str">
        <x:v>Sofia Martinez</x:v>
      </x:c>
      <x:c r="D248" t="str">
        <x:v>u2175</x:v>
      </x:c>
      <x:c r="E248" t="str">
        <x:v>Instagram</x:v>
      </x:c>
      <x:c r="F248" t="str">
        <x:v>Khurja</x:v>
      </x:c>
      <x:c r="G248" t="str">
        <x:v>Block Printing</x:v>
      </x:c>
      <x:c r="H248" t="n">
        <x:v>2</x:v>
      </x:c>
      <x:c r="I248" t="n">
        <x:v>2200</x:v>
      </x:c>
      <x:c r="J248" t="str">
        <x:v>Completed</x:v>
      </x:c>
      <x:c r="K248" t="n">
        <x:f>H248*I248</x:f>
        <x:v>4400</x:v>
      </x:c>
      <x:c r="L248" s="16" t="n">
        <x:f>IF(J248="Completed",K248*0.80,0)</x:f>
        <x:v>3520</x:v>
      </x:c>
      <x:c r="M248" t="n">
        <x:v>4.4</x:v>
      </x:c>
      <x:c r="N248" t="str">
        <x:v>Yes</x:v>
      </x:c>
      <x:c r="O248" t="str">
        <x:v>Revenue / Enterprise Team</x:v>
      </x:c>
    </x:row>
    <x:row r="249">
      <x:c r="A249" t="str">
        <x:v>CRB5247</x:v>
      </x:c>
      <x:c r="B249" t="str">
        <x:v>2026-07-06</x:v>
      </x:c>
      <x:c r="C249" t="str">
        <x:v>Priya Sharma</x:v>
      </x:c>
      <x:c r="D249" t="str">
        <x:v>u2179</x:v>
      </x:c>
      <x:c r="E249" t="str">
        <x:v>Instagram</x:v>
      </x:c>
      <x:c r="F249" t="str">
        <x:v>Jaipur</x:v>
      </x:c>
      <x:c r="G249" t="str">
        <x:v>Blue Pottery</x:v>
      </x:c>
      <x:c r="H249" t="n">
        <x:v>1</x:v>
      </x:c>
      <x:c r="I249" t="n">
        <x:v>3500</x:v>
      </x:c>
      <x:c r="J249" t="str">
        <x:v>Completed</x:v>
      </x:c>
      <x:c r="K249" t="n">
        <x:f>H249*I249</x:f>
        <x:v>3500</x:v>
      </x:c>
      <x:c r="L249" s="16" t="n">
        <x:f>IF(J249="Completed",K249*0.80,0)</x:f>
        <x:v>2800</x:v>
      </x:c>
      <x:c r="M249" t="n">
        <x:v>4.2</x:v>
      </x:c>
      <x:c r="N249" t="str">
        <x:v>No</x:v>
      </x:c>
      <x:c r="O249" t="str">
        <x:v>Revenue / Enterprise Team</x:v>
      </x:c>
    </x:row>
    <x:row r="250">
      <x:c r="A250" t="str">
        <x:v>CRB5248</x:v>
      </x:c>
      <x:c r="B250" t="str">
        <x:v>2026-07-06</x:v>
      </x:c>
      <x:c r="C250" t="str">
        <x:v>Mark Thompson</x:v>
      </x:c>
      <x:c r="D250" t="str">
        <x:v>u2180</x:v>
      </x:c>
      <x:c r="E250" t="str">
        <x:v>Google Search</x:v>
      </x:c>
      <x:c r="F250" t="str">
        <x:v>Khurja</x:v>
      </x:c>
      <x:c r="G250" t="str">
        <x:v>Blue Pottery</x:v>
      </x:c>
      <x:c r="H250" t="n">
        <x:v>3</x:v>
      </x:c>
      <x:c r="I250" t="n">
        <x:v>1500</x:v>
      </x:c>
      <x:c r="J250" t="str">
        <x:v>Completed</x:v>
      </x:c>
      <x:c r="K250" t="n">
        <x:f>H250*I250</x:f>
        <x:v>4500</x:v>
      </x:c>
      <x:c r="L250" s="16" t="n">
        <x:f>IF(J250="Completed",K250*0.80,0)</x:f>
        <x:v>3600</x:v>
      </x:c>
      <x:c r="M250" t="n">
        <x:v>4.3</x:v>
      </x:c>
      <x:c r="N250" t="str">
        <x:v>No</x:v>
      </x:c>
      <x:c r="O250" t="str">
        <x:v>Traveler Success</x:v>
      </x:c>
    </x:row>
    <x:row r="251">
      <x:c r="A251" t="str">
        <x:v>CRB5249</x:v>
      </x:c>
      <x:c r="B251" t="str">
        <x:v>2026-07-06</x:v>
      </x:c>
      <x:c r="C251" t="str">
        <x:v>Priya Sharma</x:v>
      </x:c>
      <x:c r="D251" t="str">
        <x:v>u2182</x:v>
      </x:c>
      <x:c r="E251" t="str">
        <x:v>Google Search</x:v>
      </x:c>
      <x:c r="F251" t="str">
        <x:v>Jaipur</x:v>
      </x:c>
      <x:c r="G251" t="str">
        <x:v>Warli Painting</x:v>
      </x:c>
      <x:c r="H251" t="n">
        <x:v>3</x:v>
      </x:c>
      <x:c r="I251" t="n">
        <x:v>2500</x:v>
      </x:c>
      <x:c r="J251" t="str">
        <x:v>Completed</x:v>
      </x:c>
      <x:c r="K251" t="n">
        <x:f>H251*I251</x:f>
        <x:v>7500</x:v>
      </x:c>
      <x:c r="L251" s="16" t="n">
        <x:f>IF(J251="Completed",K251*0.80,0)</x:f>
        <x:v>6000</x:v>
      </x:c>
      <x:c r="M251" t="n">
        <x:v>4.8</x:v>
      </x:c>
      <x:c r="N251" t="str">
        <x:v>No</x:v>
      </x:c>
      <x:c r="O251" t="str">
        <x:v>Revenue / Enterprise Team</x:v>
      </x:c>
    </x:row>
    <x:row r="252">
      <x:c r="A252" t="str">
        <x:v>CRB5250</x:v>
      </x:c>
      <x:c r="B252" t="str">
        <x:v>2026-07-06</x:v>
      </x:c>
      <x:c r="C252" t="str">
        <x:v>Rahul Mehta</x:v>
      </x:c>
      <x:c r="D252" t="str">
        <x:v>u2191</x:v>
      </x:c>
      <x:c r="E252" t="str">
        <x:v>Referral</x:v>
      </x:c>
      <x:c r="F252" t="str">
        <x:v>Varanasi</x:v>
      </x:c>
      <x:c r="G252" t="str">
        <x:v>Pottery</x:v>
      </x:c>
      <x:c r="H252" t="n">
        <x:v>1</x:v>
      </x:c>
      <x:c r="I252" t="n">
        <x:v>3500</x:v>
      </x:c>
      <x:c r="J252" t="str">
        <x:v>Completed</x:v>
      </x:c>
      <x:c r="K252" t="n">
        <x:f>H252*I252</x:f>
        <x:v>3500</x:v>
      </x:c>
      <x:c r="L252" s="16" t="n">
        <x:f>IF(J252="Completed",K252*0.80,0)</x:f>
        <x:v>2800</x:v>
      </x:c>
      <x:c r="M252" t="n">
        <x:v>4.9</x:v>
      </x:c>
      <x:c r="N252" t="str">
        <x:v>No</x:v>
      </x:c>
      <x:c r="O252" t="str">
        <x:v>Traveler Success</x:v>
      </x:c>
    </x:row>
    <x:row r="253">
      <x:c r="A253" t="str">
        <x:v>CRB5251</x:v>
      </x:c>
      <x:c r="B253" t="str">
        <x:v>2026-07-06</x:v>
      </x:c>
      <x:c r="C253" t="str">
        <x:v>Sofia Martinez</x:v>
      </x:c>
      <x:c r="D253" t="str">
        <x:v>u2192</x:v>
      </x:c>
      <x:c r="E253" t="str">
        <x:v>Travel Blog</x:v>
      </x:c>
      <x:c r="F253" t="str">
        <x:v>Bangalore</x:v>
      </x:c>
      <x:c r="G253" t="str">
        <x:v>Block Printing</x:v>
      </x:c>
      <x:c r="H253" t="n">
        <x:v>6</x:v>
      </x:c>
      <x:c r="I253" t="n">
        <x:v>3500</x:v>
      </x:c>
      <x:c r="J253" t="str">
        <x:v>Completed</x:v>
      </x:c>
      <x:c r="K253" t="n">
        <x:f>H253*I253</x:f>
        <x:v>21000</x:v>
      </x:c>
      <x:c r="L253" s="16" t="n">
        <x:f>IF(J253="Completed",K253*0.80,0)</x:f>
        <x:v>16800</x:v>
      </x:c>
      <x:c r="M253" t="n">
        <x:v>3.9</x:v>
      </x:c>
      <x:c r="N253" t="str">
        <x:v>Yes</x:v>
      </x:c>
      <x:c r="O253" t="str">
        <x:v>Customer Success</x:v>
      </x:c>
    </x:row>
    <x:row r="254">
      <x:c r="A254" t="str">
        <x:v>CRB5252</x:v>
      </x:c>
      <x:c r="B254" t="str">
        <x:v>2026-07-06</x:v>
      </x:c>
      <x:c r="C254" t="str">
        <x:v>Rahul Mehta</x:v>
      </x:c>
      <x:c r="D254" t="str">
        <x:v>u2193</x:v>
      </x:c>
      <x:c r="E254" t="str">
        <x:v>Direct</x:v>
      </x:c>
      <x:c r="F254" t="str">
        <x:v>Udaipur</x:v>
      </x:c>
      <x:c r="G254" t="str">
        <x:v>Block Printing</x:v>
      </x:c>
      <x:c r="H254" t="n">
        <x:v>10</x:v>
      </x:c>
      <x:c r="I254" t="n">
        <x:v>2200</x:v>
      </x:c>
      <x:c r="J254" t="str">
        <x:v>Completed</x:v>
      </x:c>
      <x:c r="K254" t="n">
        <x:f>H254*I254</x:f>
        <x:v>22000</x:v>
      </x:c>
      <x:c r="L254" s="16" t="n">
        <x:f>IF(J254="Completed",K254*0.80,0)</x:f>
        <x:v>17600</x:v>
      </x:c>
      <x:c r="M254" t="n">
        <x:v>4.1</x:v>
      </x:c>
      <x:c r="N254" t="str">
        <x:v>Yes</x:v>
      </x:c>
      <x:c r="O254" t="str">
        <x:v>Customer Success</x:v>
      </x:c>
    </x:row>
    <x:row r="255">
      <x:c r="A255" t="str">
        <x:v>CRB5253</x:v>
      </x:c>
      <x:c r="B255" t="str">
        <x:v>2026-07-06</x:v>
      </x:c>
      <x:c r="C255" t="str">
        <x:v>Mark Thompson</x:v>
      </x:c>
      <x:c r="D255" t="str">
        <x:v>u2197</x:v>
      </x:c>
      <x:c r="E255" t="str">
        <x:v>Google Search</x:v>
      </x:c>
      <x:c r="F255" t="str">
        <x:v>Bangalore</x:v>
      </x:c>
      <x:c r="G255" t="str">
        <x:v>Pottery</x:v>
      </x:c>
      <x:c r="H255" t="n">
        <x:v>12</x:v>
      </x:c>
      <x:c r="I255" t="n">
        <x:v>1800</x:v>
      </x:c>
      <x:c r="J255" t="str">
        <x:v>Completed</x:v>
      </x:c>
      <x:c r="K255" t="n">
        <x:f>H255*I255</x:f>
        <x:v>21600</x:v>
      </x:c>
      <x:c r="L255" s="16" t="n">
        <x:f>IF(J255="Completed",K255*0.80,0)</x:f>
        <x:v>17280</x:v>
      </x:c>
      <x:c r="M255" t="n">
        <x:v>3.9</x:v>
      </x:c>
      <x:c r="N255" t="str">
        <x:v>No</x:v>
      </x:c>
      <x:c r="O255" t="str">
        <x:v>Revenue / Enterprise Team</x:v>
      </x:c>
    </x:row>
    <x:row r="256">
      <x:c r="A256" t="str">
        <x:v>CRB5254</x:v>
      </x:c>
      <x:c r="B256" t="str">
        <x:v>2026-07-06</x:v>
      </x:c>
      <x:c r="C256" t="str">
        <x:v>Ananya Reddy</x:v>
      </x:c>
      <x:c r="D256" t="str">
        <x:v>u2200</x:v>
      </x:c>
      <x:c r="E256" t="str">
        <x:v>Instagram</x:v>
      </x:c>
      <x:c r="F256" t="str">
        <x:v>Bangalore</x:v>
      </x:c>
      <x:c r="G256" t="str">
        <x:v>Warli Painting</x:v>
      </x:c>
      <x:c r="H256" t="n">
        <x:v>1</x:v>
      </x:c>
      <x:c r="I256" t="n">
        <x:v>2200</x:v>
      </x:c>
      <x:c r="J256" t="str">
        <x:v>Completed</x:v>
      </x:c>
      <x:c r="K256" t="n">
        <x:f>H256*I256</x:f>
        <x:v>2200</x:v>
      </x:c>
      <x:c r="L256" s="16" t="n">
        <x:f>IF(J256="Completed",K256*0.80,0)</x:f>
        <x:v>1760</x:v>
      </x:c>
      <x:c r="M256" t="n">
        <x:v>4.6</x:v>
      </x:c>
      <x:c r="N256" t="str">
        <x:v>Yes</x:v>
      </x:c>
      <x:c r="O256" t="str">
        <x:v>Customer Success</x:v>
      </x:c>
    </x:row>
    <x:row r="257">
      <x:c r="A257" t="str">
        <x:v>CRB5255</x:v>
      </x:c>
      <x:c r="B257" t="str">
        <x:v>2026-07-06</x:v>
      </x:c>
      <x:c r="C257" t="str">
        <x:v>Priya Sharma</x:v>
      </x:c>
      <x:c r="D257" t="str">
        <x:v>u2207</x:v>
      </x:c>
      <x:c r="E257" t="str">
        <x:v>Instagram</x:v>
      </x:c>
      <x:c r="F257" t="str">
        <x:v>Varanasi</x:v>
      </x:c>
      <x:c r="G257" t="str">
        <x:v>Block Printing</x:v>
      </x:c>
      <x:c r="H257" t="n">
        <x:v>4</x:v>
      </x:c>
      <x:c r="I257" t="n">
        <x:v>2200</x:v>
      </x:c>
      <x:c r="J257" t="str">
        <x:v>Completed</x:v>
      </x:c>
      <x:c r="K257" t="n">
        <x:f>H257*I257</x:f>
        <x:v>8800</x:v>
      </x:c>
      <x:c r="L257" s="16" t="n">
        <x:f>IF(J257="Completed",K257*0.80,0)</x:f>
        <x:v>7040</x:v>
      </x:c>
      <x:c r="M257" t="n">
        <x:v>4.7</x:v>
      </x:c>
      <x:c r="N257" t="str">
        <x:v>Yes</x:v>
      </x:c>
      <x:c r="O257" t="str">
        <x:v>Traveler Success</x:v>
      </x:c>
    </x:row>
    <x:row r="258">
      <x:c r="A258" t="str">
        <x:v>CRB5256</x:v>
      </x:c>
      <x:c r="B258" t="str">
        <x:v>2026-07-06</x:v>
      </x:c>
      <x:c r="C258" t="str">
        <x:v>Priya Sharma</x:v>
      </x:c>
      <x:c r="D258" t="str">
        <x:v>u2208</x:v>
      </x:c>
      <x:c r="E258" t="str">
        <x:v>Google Search</x:v>
      </x:c>
      <x:c r="F258" t="str">
        <x:v>Varanasi</x:v>
      </x:c>
      <x:c r="G258" t="str">
        <x:v>Pottery</x:v>
      </x:c>
      <x:c r="H258" t="n">
        <x:v>3</x:v>
      </x:c>
      <x:c r="I258" t="n">
        <x:v>1800</x:v>
      </x:c>
      <x:c r="J258" t="str">
        <x:v>Completed</x:v>
      </x:c>
      <x:c r="K258" t="n">
        <x:f>H258*I258</x:f>
        <x:v>5400</x:v>
      </x:c>
      <x:c r="L258" s="16" t="n">
        <x:f>IF(J258="Completed",K258*0.80,0)</x:f>
        <x:v>4320</x:v>
      </x:c>
      <x:c r="M258" t="n">
        <x:v>4.1</x:v>
      </x:c>
      <x:c r="N258" t="str">
        <x:v>Yes</x:v>
      </x:c>
      <x:c r="O258" t="str">
        <x:v>Revenue / Enterprise Team</x:v>
      </x:c>
    </x:row>
    <x:row r="259">
      <x:c r="A259" t="str">
        <x:v>CRB5257</x:v>
      </x:c>
      <x:c r="B259" t="str">
        <x:v>2026-07-06</x:v>
      </x:c>
      <x:c r="C259" t="str">
        <x:v>Rahul Mehta</x:v>
      </x:c>
      <x:c r="D259" t="str">
        <x:v>u2209</x:v>
      </x:c>
      <x:c r="E259" t="str">
        <x:v>Google Search</x:v>
      </x:c>
      <x:c r="F259" t="str">
        <x:v>Udaipur</x:v>
      </x:c>
      <x:c r="G259" t="str">
        <x:v>Block Printing</x:v>
      </x:c>
      <x:c r="H259" t="n">
        <x:v>6</x:v>
      </x:c>
      <x:c r="I259" t="n">
        <x:v>3500</x:v>
      </x:c>
      <x:c r="J259" t="str">
        <x:v>Completed</x:v>
      </x:c>
      <x:c r="K259" t="n">
        <x:f>H259*I259</x:f>
        <x:v>21000</x:v>
      </x:c>
      <x:c r="L259" s="16" t="n">
        <x:f>IF(J259="Completed",K259*0.80,0)</x:f>
        <x:v>16800</x:v>
      </x:c>
      <x:c r="M259" t="n">
        <x:v>4.4</x:v>
      </x:c>
      <x:c r="N259" t="str">
        <x:v>No</x:v>
      </x:c>
      <x:c r="O259" t="str">
        <x:v>Revenue / Enterprise Team</x:v>
      </x:c>
    </x:row>
    <x:row r="260">
      <x:c r="A260" t="str">
        <x:v>CRB5258</x:v>
      </x:c>
      <x:c r="B260" t="str">
        <x:v>2026-07-06</x:v>
      </x:c>
      <x:c r="C260" t="str">
        <x:v>Ananya Reddy</x:v>
      </x:c>
      <x:c r="D260" t="str">
        <x:v>u2210</x:v>
      </x:c>
      <x:c r="E260" t="str">
        <x:v>Instagram</x:v>
      </x:c>
      <x:c r="F260" t="str">
        <x:v>Jaipur</x:v>
      </x:c>
      <x:c r="G260" t="str">
        <x:v>Pottery</x:v>
      </x:c>
      <x:c r="H260" t="n">
        <x:v>10</x:v>
      </x:c>
      <x:c r="I260" t="n">
        <x:v>3000</x:v>
      </x:c>
      <x:c r="J260" t="str">
        <x:v>Completed</x:v>
      </x:c>
      <x:c r="K260" t="n">
        <x:f>H260*I260</x:f>
        <x:v>30000</x:v>
      </x:c>
      <x:c r="L260" s="16" t="n">
        <x:f>IF(J260="Completed",K260*0.80,0)</x:f>
        <x:v>24000</x:v>
      </x:c>
      <x:c r="M260" t="n">
        <x:v>5</x:v>
      </x:c>
      <x:c r="N260" t="str">
        <x:v>Yes</x:v>
      </x:c>
      <x:c r="O260" t="str">
        <x:v>Revenue / Enterprise Team</x:v>
      </x:c>
    </x:row>
    <x:row r="261">
      <x:c r="A261" t="str">
        <x:v>CRB5259</x:v>
      </x:c>
      <x:c r="B261" t="str">
        <x:v>2026-07-06</x:v>
      </x:c>
      <x:c r="C261" t="str">
        <x:v>Sofia Martinez</x:v>
      </x:c>
      <x:c r="D261" t="str">
        <x:v>u2211</x:v>
      </x:c>
      <x:c r="E261" t="str">
        <x:v>Direct</x:v>
      </x:c>
      <x:c r="F261" t="str">
        <x:v>Khurja</x:v>
      </x:c>
      <x:c r="G261" t="str">
        <x:v>Warli Painting</x:v>
      </x:c>
      <x:c r="H261" t="n">
        <x:v>4</x:v>
      </x:c>
      <x:c r="I261" t="n">
        <x:v>3500</x:v>
      </x:c>
      <x:c r="J261" t="str">
        <x:v>Completed</x:v>
      </x:c>
      <x:c r="K261" t="n">
        <x:f>H261*I261</x:f>
        <x:v>14000</x:v>
      </x:c>
      <x:c r="L261" s="16" t="n">
        <x:f>IF(J261="Completed",K261*0.80,0)</x:f>
        <x:v>11200</x:v>
      </x:c>
      <x:c r="M261" t="n">
        <x:v>4.5</x:v>
      </x:c>
      <x:c r="N261" t="str">
        <x:v>No</x:v>
      </x:c>
      <x:c r="O261" t="str">
        <x:v>Revenue / Enterprise Team</x:v>
      </x:c>
    </x:row>
    <x:row r="262">
      <x:c r="A262" t="str">
        <x:v>CRB5260</x:v>
      </x:c>
      <x:c r="B262" t="str">
        <x:v>2026-07-06</x:v>
      </x:c>
      <x:c r="C262" t="str">
        <x:v>Sofia Martinez</x:v>
      </x:c>
      <x:c r="D262" t="str">
        <x:v>u2213</x:v>
      </x:c>
      <x:c r="E262" t="str">
        <x:v>Direct</x:v>
      </x:c>
      <x:c r="F262" t="str">
        <x:v>Varanasi</x:v>
      </x:c>
      <x:c r="G262" t="str">
        <x:v>Blue Pottery</x:v>
      </x:c>
      <x:c r="H262" t="n">
        <x:v>12</x:v>
      </x:c>
      <x:c r="I262" t="n">
        <x:v>3000</x:v>
      </x:c>
      <x:c r="J262" t="str">
        <x:v>No-show</x:v>
      </x:c>
      <x:c r="K262" t="n">
        <x:f>H262*I262</x:f>
        <x:v>36000</x:v>
      </x:c>
      <x:c r="L262" s="16" t="n">
        <x:f>IF(J262="Completed",K262*0.80,0)</x:f>
        <x:v>0</x:v>
      </x:c>
      <x:c r="M262" t="str"/>
      <x:c r="N262" t="str">
        <x:v>No</x:v>
      </x:c>
      <x:c r="O262" t="str">
        <x:v>Revenue / Enterprise Team</x:v>
      </x:c>
    </x:row>
    <x:row r="263">
      <x:c r="A263" t="str">
        <x:v>CRB5261</x:v>
      </x:c>
      <x:c r="B263" t="str">
        <x:v>2026-07-06</x:v>
      </x:c>
      <x:c r="C263" t="str">
        <x:v>Rahul Mehta</x:v>
      </x:c>
      <x:c r="D263" t="str">
        <x:v>u2220</x:v>
      </x:c>
      <x:c r="E263" t="str">
        <x:v>Referral</x:v>
      </x:c>
      <x:c r="F263" t="str">
        <x:v>Udaipur</x:v>
      </x:c>
      <x:c r="G263" t="str">
        <x:v>Weaving</x:v>
      </x:c>
      <x:c r="H263" t="n">
        <x:v>4</x:v>
      </x:c>
      <x:c r="I263" t="n">
        <x:v>3000</x:v>
      </x:c>
      <x:c r="J263" t="str">
        <x:v>Completed</x:v>
      </x:c>
      <x:c r="K263" t="n">
        <x:f>H263*I263</x:f>
        <x:v>12000</x:v>
      </x:c>
      <x:c r="L263" s="16" t="n">
        <x:f>IF(J263="Completed",K263*0.80,0)</x:f>
        <x:v>9600</x:v>
      </x:c>
      <x:c r="M263" t="n">
        <x:v>4.2</x:v>
      </x:c>
      <x:c r="N263" t="str">
        <x:v>Yes</x:v>
      </x:c>
      <x:c r="O263" t="str">
        <x:v>Customer Success</x:v>
      </x:c>
    </x:row>
    <x:row r="264">
      <x:c r="A264" t="str">
        <x:v>CRB5262</x:v>
      </x:c>
      <x:c r="B264" t="str">
        <x:v>2026-07-06</x:v>
      </x:c>
      <x:c r="C264" t="str">
        <x:v>Mark Thompson</x:v>
      </x:c>
      <x:c r="D264" t="str">
        <x:v>u2221</x:v>
      </x:c>
      <x:c r="E264" t="str">
        <x:v>Google Search</x:v>
      </x:c>
      <x:c r="F264" t="str">
        <x:v>Jaipur</x:v>
      </x:c>
      <x:c r="G264" t="str">
        <x:v>Block Printing</x:v>
      </x:c>
      <x:c r="H264" t="n">
        <x:v>3</x:v>
      </x:c>
      <x:c r="I264" t="n">
        <x:v>3000</x:v>
      </x:c>
      <x:c r="J264" t="str">
        <x:v>Completed</x:v>
      </x:c>
      <x:c r="K264" t="n">
        <x:f>H264*I264</x:f>
        <x:v>9000</x:v>
      </x:c>
      <x:c r="L264" s="16" t="n">
        <x:f>IF(J264="Completed",K264*0.80,0)</x:f>
        <x:v>7200</x:v>
      </x:c>
      <x:c r="M264" t="n">
        <x:v>4.8</x:v>
      </x:c>
      <x:c r="N264" t="str">
        <x:v>No</x:v>
      </x:c>
      <x:c r="O264" t="str">
        <x:v>Revenue / Enterprise Team</x:v>
      </x:c>
    </x:row>
    <x:row r="265">
      <x:c r="A265" t="str">
        <x:v>CRB5263</x:v>
      </x:c>
      <x:c r="B265" t="str">
        <x:v>2026-07-06</x:v>
      </x:c>
      <x:c r="C265" t="str">
        <x:v>Sofia Martinez</x:v>
      </x:c>
      <x:c r="D265" t="str">
        <x:v>u2222</x:v>
      </x:c>
      <x:c r="E265" t="str">
        <x:v>Direct</x:v>
      </x:c>
      <x:c r="F265" t="str">
        <x:v>Khurja</x:v>
      </x:c>
      <x:c r="G265" t="str">
        <x:v>Warli Painting</x:v>
      </x:c>
      <x:c r="H265" t="n">
        <x:v>6</x:v>
      </x:c>
      <x:c r="I265" t="n">
        <x:v>3500</x:v>
      </x:c>
      <x:c r="J265" t="str">
        <x:v>No-show</x:v>
      </x:c>
      <x:c r="K265" t="n">
        <x:f>H265*I265</x:f>
        <x:v>21000</x:v>
      </x:c>
      <x:c r="L265" s="16" t="n">
        <x:f>IF(J265="Completed",K265*0.80,0)</x:f>
        <x:v>0</x:v>
      </x:c>
      <x:c r="M265" t="str"/>
      <x:c r="N265" t="str">
        <x:v>Yes</x:v>
      </x:c>
      <x:c r="O265" t="str">
        <x:v>Customer Success</x:v>
      </x:c>
    </x:row>
    <x:row r="266">
      <x:c r="A266" t="str">
        <x:v>CRB5264</x:v>
      </x:c>
      <x:c r="B266" t="str">
        <x:v>2026-07-06</x:v>
      </x:c>
      <x:c r="C266" t="str">
        <x:v>Sofia Martinez</x:v>
      </x:c>
      <x:c r="D266" t="str">
        <x:v>u2238</x:v>
      </x:c>
      <x:c r="E266" t="str">
        <x:v>Instagram</x:v>
      </x:c>
      <x:c r="F266" t="str">
        <x:v>Udaipur</x:v>
      </x:c>
      <x:c r="G266" t="str">
        <x:v>Block Printing</x:v>
      </x:c>
      <x:c r="H266" t="n">
        <x:v>10</x:v>
      </x:c>
      <x:c r="I266" t="n">
        <x:v>2200</x:v>
      </x:c>
      <x:c r="J266" t="str">
        <x:v>Completed</x:v>
      </x:c>
      <x:c r="K266" t="n">
        <x:f>H266*I266</x:f>
        <x:v>22000</x:v>
      </x:c>
      <x:c r="L266" s="16" t="n">
        <x:f>IF(J266="Completed",K266*0.80,0)</x:f>
        <x:v>17600</x:v>
      </x:c>
      <x:c r="M266" t="n">
        <x:v>4.4</x:v>
      </x:c>
      <x:c r="N266" t="str">
        <x:v>Yes</x:v>
      </x:c>
      <x:c r="O266" t="str">
        <x:v>Customer Success</x:v>
      </x:c>
    </x:row>
    <x:row r="267">
      <x:c r="A267" t="str">
        <x:v>CRB5265</x:v>
      </x:c>
      <x:c r="B267" t="str">
        <x:v>2026-07-06</x:v>
      </x:c>
      <x:c r="C267" t="str">
        <x:v>Rahul Mehta</x:v>
      </x:c>
      <x:c r="D267" t="str">
        <x:v>u2241</x:v>
      </x:c>
      <x:c r="E267" t="str">
        <x:v>Google Search</x:v>
      </x:c>
      <x:c r="F267" t="str">
        <x:v>Bangalore</x:v>
      </x:c>
      <x:c r="G267" t="str">
        <x:v>Blue Pottery</x:v>
      </x:c>
      <x:c r="H267" t="n">
        <x:v>2</x:v>
      </x:c>
      <x:c r="I267" t="n">
        <x:v>3500</x:v>
      </x:c>
      <x:c r="J267" t="str">
        <x:v>Completed</x:v>
      </x:c>
      <x:c r="K267" t="n">
        <x:f>H267*I267</x:f>
        <x:v>7000</x:v>
      </x:c>
      <x:c r="L267" s="16" t="n">
        <x:f>IF(J267="Completed",K267*0.80,0)</x:f>
        <x:v>5600</x:v>
      </x:c>
      <x:c r="M267" t="n">
        <x:v>4.4</x:v>
      </x:c>
      <x:c r="N267" t="str">
        <x:v>No</x:v>
      </x:c>
      <x:c r="O267" t="str">
        <x:v>Customer Success</x:v>
      </x:c>
    </x:row>
    <x:row r="268">
      <x:c r="A268" t="str">
        <x:v>CRB5266</x:v>
      </x:c>
      <x:c r="B268" t="str">
        <x:v>2026-07-06</x:v>
      </x:c>
      <x:c r="C268" t="str">
        <x:v>Ananya Reddy</x:v>
      </x:c>
      <x:c r="D268" t="str">
        <x:v>u2245</x:v>
      </x:c>
      <x:c r="E268" t="str">
        <x:v>Travel Blog</x:v>
      </x:c>
      <x:c r="F268" t="str">
        <x:v>Udaipur</x:v>
      </x:c>
      <x:c r="G268" t="str">
        <x:v>Blue Pottery</x:v>
      </x:c>
      <x:c r="H268" t="n">
        <x:v>10</x:v>
      </x:c>
      <x:c r="I268" t="n">
        <x:v>3000</x:v>
      </x:c>
      <x:c r="J268" t="str">
        <x:v>Cancelled</x:v>
      </x:c>
      <x:c r="K268" t="n">
        <x:f>H268*I268</x:f>
        <x:v>30000</x:v>
      </x:c>
      <x:c r="L268" s="16" t="n">
        <x:f>IF(J268="Completed",K268*0.80,0)</x:f>
        <x:v>0</x:v>
      </x:c>
      <x:c r="M268" t="str"/>
      <x:c r="N268" t="str">
        <x:v>No</x:v>
      </x:c>
      <x:c r="O268" t="str">
        <x:v>Customer Success</x:v>
      </x:c>
    </x:row>
    <x:row r="269">
      <x:c r="A269" t="str">
        <x:v>CRB5267</x:v>
      </x:c>
      <x:c r="B269" t="str">
        <x:v>2026-07-06</x:v>
      </x:c>
      <x:c r="C269" t="str">
        <x:v>Ananya Reddy</x:v>
      </x:c>
      <x:c r="D269" t="str">
        <x:v>u2253</x:v>
      </x:c>
      <x:c r="E269" t="str">
        <x:v>Google Search</x:v>
      </x:c>
      <x:c r="F269" t="str">
        <x:v>Varanasi</x:v>
      </x:c>
      <x:c r="G269" t="str">
        <x:v>Blue Pottery</x:v>
      </x:c>
      <x:c r="H269" t="n">
        <x:v>3</x:v>
      </x:c>
      <x:c r="I269" t="n">
        <x:v>3000</x:v>
      </x:c>
      <x:c r="J269" t="str">
        <x:v>No-show</x:v>
      </x:c>
      <x:c r="K269" t="n">
        <x:f>H269*I269</x:f>
        <x:v>9000</x:v>
      </x:c>
      <x:c r="L269" s="16" t="n">
        <x:f>IF(J269="Completed",K269*0.80,0)</x:f>
        <x:v>0</x:v>
      </x:c>
      <x:c r="M269" t="str"/>
      <x:c r="N269" t="str">
        <x:v>No</x:v>
      </x:c>
      <x:c r="O269" t="str">
        <x:v>Customer Success</x:v>
      </x:c>
    </x:row>
    <x:row r="270">
      <x:c r="A270" t="str">
        <x:v>CRB5268</x:v>
      </x:c>
      <x:c r="B270" t="str">
        <x:v>2026-07-06</x:v>
      </x:c>
      <x:c r="C270" t="str">
        <x:v>Ananya Reddy</x:v>
      </x:c>
      <x:c r="D270" t="str">
        <x:v>u2254</x:v>
      </x:c>
      <x:c r="E270" t="str">
        <x:v>Google Search</x:v>
      </x:c>
      <x:c r="F270" t="str">
        <x:v>Khurja</x:v>
      </x:c>
      <x:c r="G270" t="str">
        <x:v>Block Printing</x:v>
      </x:c>
      <x:c r="H270" t="n">
        <x:v>10</x:v>
      </x:c>
      <x:c r="I270" t="n">
        <x:v>1800</x:v>
      </x:c>
      <x:c r="J270" t="str">
        <x:v>Completed</x:v>
      </x:c>
      <x:c r="K270" t="n">
        <x:f>H270*I270</x:f>
        <x:v>18000</x:v>
      </x:c>
      <x:c r="L270" s="16" t="n">
        <x:f>IF(J270="Completed",K270*0.80,0)</x:f>
        <x:v>14400</x:v>
      </x:c>
      <x:c r="M270" t="n">
        <x:v>4.6</x:v>
      </x:c>
      <x:c r="N270" t="str">
        <x:v>No</x:v>
      </x:c>
      <x:c r="O270" t="str">
        <x:v>Customer Success</x:v>
      </x:c>
    </x:row>
    <x:row r="271">
      <x:c r="A271" t="str">
        <x:v>CRB5269</x:v>
      </x:c>
      <x:c r="B271" t="str">
        <x:v>2026-07-06</x:v>
      </x:c>
      <x:c r="C271" t="str">
        <x:v>Ananya Reddy</x:v>
      </x:c>
      <x:c r="D271" t="str">
        <x:v>u2259</x:v>
      </x:c>
      <x:c r="E271" t="str">
        <x:v>Google Search</x:v>
      </x:c>
      <x:c r="F271" t="str">
        <x:v>Khurja</x:v>
      </x:c>
      <x:c r="G271" t="str">
        <x:v>Block Printing</x:v>
      </x:c>
      <x:c r="H271" t="n">
        <x:v>3</x:v>
      </x:c>
      <x:c r="I271" t="n">
        <x:v>3000</x:v>
      </x:c>
      <x:c r="J271" t="str">
        <x:v>Completed</x:v>
      </x:c>
      <x:c r="K271" t="n">
        <x:f>H271*I271</x:f>
        <x:v>9000</x:v>
      </x:c>
      <x:c r="L271" s="16" t="n">
        <x:f>IF(J271="Completed",K271*0.80,0)</x:f>
        <x:v>7200</x:v>
      </x:c>
      <x:c r="M271" t="n">
        <x:v>4.9</x:v>
      </x:c>
      <x:c r="N271" t="str">
        <x:v>No</x:v>
      </x:c>
      <x:c r="O271" t="str">
        <x:v>Traveler Success</x:v>
      </x:c>
    </x:row>
    <x:row r="272">
      <x:c r="A272" t="str">
        <x:v>CRB5270</x:v>
      </x:c>
      <x:c r="B272" t="str">
        <x:v>2026-07-06</x:v>
      </x:c>
      <x:c r="C272" t="str">
        <x:v>Priya Sharma</x:v>
      </x:c>
      <x:c r="D272" t="str">
        <x:v>u2263</x:v>
      </x:c>
      <x:c r="E272" t="str">
        <x:v>Google Search</x:v>
      </x:c>
      <x:c r="F272" t="str">
        <x:v>Jaipur</x:v>
      </x:c>
      <x:c r="G272" t="str">
        <x:v>Blue Pottery</x:v>
      </x:c>
      <x:c r="H272" t="n">
        <x:v>3</x:v>
      </x:c>
      <x:c r="I272" t="n">
        <x:v>1500</x:v>
      </x:c>
      <x:c r="J272" t="str">
        <x:v>Completed</x:v>
      </x:c>
      <x:c r="K272" t="n">
        <x:f>H272*I272</x:f>
        <x:v>4500</x:v>
      </x:c>
      <x:c r="L272" s="16" t="n">
        <x:f>IF(J272="Completed",K272*0.80,0)</x:f>
        <x:v>3600</x:v>
      </x:c>
      <x:c r="M272" t="n">
        <x:v>4.5</x:v>
      </x:c>
      <x:c r="N272" t="str">
        <x:v>Yes</x:v>
      </x:c>
      <x:c r="O272" t="str">
        <x:v>Traveler Success</x:v>
      </x:c>
    </x:row>
    <x:row r="273">
      <x:c r="A273" t="str">
        <x:v>CRB5271</x:v>
      </x:c>
      <x:c r="B273" t="str">
        <x:v>2026-07-06</x:v>
      </x:c>
      <x:c r="C273" t="str">
        <x:v>Ananya Reddy</x:v>
      </x:c>
      <x:c r="D273" t="str">
        <x:v>u2265</x:v>
      </x:c>
      <x:c r="E273" t="str">
        <x:v>Direct</x:v>
      </x:c>
      <x:c r="F273" t="str">
        <x:v>Bangalore</x:v>
      </x:c>
      <x:c r="G273" t="str">
        <x:v>Pottery</x:v>
      </x:c>
      <x:c r="H273" t="n">
        <x:v>10</x:v>
      </x:c>
      <x:c r="I273" t="n">
        <x:v>3000</x:v>
      </x:c>
      <x:c r="J273" t="str">
        <x:v>Cancelled</x:v>
      </x:c>
      <x:c r="K273" t="n">
        <x:f>H273*I273</x:f>
        <x:v>30000</x:v>
      </x:c>
      <x:c r="L273" s="16" t="n">
        <x:f>IF(J273="Completed",K273*0.80,0)</x:f>
        <x:v>0</x:v>
      </x:c>
      <x:c r="M273" t="str"/>
      <x:c r="N273" t="str">
        <x:v>No</x:v>
      </x:c>
      <x:c r="O273" t="str">
        <x:v>Traveler Success</x:v>
      </x:c>
    </x:row>
    <x:row r="274">
      <x:c r="A274" t="str">
        <x:v>CRB5272</x:v>
      </x:c>
      <x:c r="B274" t="str">
        <x:v>2026-07-06</x:v>
      </x:c>
      <x:c r="C274" t="str">
        <x:v>Sofia Martinez</x:v>
      </x:c>
      <x:c r="D274" t="str">
        <x:v>u2274</x:v>
      </x:c>
      <x:c r="E274" t="str">
        <x:v>Instagram</x:v>
      </x:c>
      <x:c r="F274" t="str">
        <x:v>Khurja</x:v>
      </x:c>
      <x:c r="G274" t="str">
        <x:v>Weaving</x:v>
      </x:c>
      <x:c r="H274" t="n">
        <x:v>3</x:v>
      </x:c>
      <x:c r="I274" t="n">
        <x:v>3500</x:v>
      </x:c>
      <x:c r="J274" t="str">
        <x:v>Completed</x:v>
      </x:c>
      <x:c r="K274" t="n">
        <x:f>H274*I274</x:f>
        <x:v>10500</x:v>
      </x:c>
      <x:c r="L274" s="16" t="n">
        <x:f>IF(J274="Completed",K274*0.80,0)</x:f>
        <x:v>8400</x:v>
      </x:c>
      <x:c r="M274" t="n">
        <x:v>4.5</x:v>
      </x:c>
      <x:c r="N274" t="str">
        <x:v>No</x:v>
      </x:c>
      <x:c r="O274" t="str">
        <x:v>Traveler Success</x:v>
      </x:c>
    </x:row>
    <x:row r="275">
      <x:c r="A275" t="str">
        <x:v>CRB5273</x:v>
      </x:c>
      <x:c r="B275" t="str">
        <x:v>2026-07-06</x:v>
      </x:c>
      <x:c r="C275" t="str">
        <x:v>Ananya Reddy</x:v>
      </x:c>
      <x:c r="D275" t="str">
        <x:v>u2275</x:v>
      </x:c>
      <x:c r="E275" t="str">
        <x:v>Travel Blog</x:v>
      </x:c>
      <x:c r="F275" t="str">
        <x:v>Jaipur</x:v>
      </x:c>
      <x:c r="G275" t="str">
        <x:v>Block Printing</x:v>
      </x:c>
      <x:c r="H275" t="n">
        <x:v>2</x:v>
      </x:c>
      <x:c r="I275" t="n">
        <x:v>1800</x:v>
      </x:c>
      <x:c r="J275" t="str">
        <x:v>Completed</x:v>
      </x:c>
      <x:c r="K275" t="n">
        <x:f>H275*I275</x:f>
        <x:v>3600</x:v>
      </x:c>
      <x:c r="L275" s="16" t="n">
        <x:f>IF(J275="Completed",K275*0.80,0)</x:f>
        <x:v>2880</x:v>
      </x:c>
      <x:c r="M275" t="n">
        <x:v>4.5</x:v>
      </x:c>
      <x:c r="N275" t="str">
        <x:v>No</x:v>
      </x:c>
      <x:c r="O275" t="str">
        <x:v>Revenue / Enterprise Team</x:v>
      </x:c>
    </x:row>
    <x:row r="276">
      <x:c r="A276" t="str">
        <x:v>CRB5274</x:v>
      </x:c>
      <x:c r="B276" t="str">
        <x:v>2026-07-06</x:v>
      </x:c>
      <x:c r="C276" t="str">
        <x:v>Mark Thompson</x:v>
      </x:c>
      <x:c r="D276" t="str">
        <x:v>u2284</x:v>
      </x:c>
      <x:c r="E276" t="str">
        <x:v>Direct</x:v>
      </x:c>
      <x:c r="F276" t="str">
        <x:v>Bangalore</x:v>
      </x:c>
      <x:c r="G276" t="str">
        <x:v>Blue Pottery</x:v>
      </x:c>
      <x:c r="H276" t="n">
        <x:v>2</x:v>
      </x:c>
      <x:c r="I276" t="n">
        <x:v>1800</x:v>
      </x:c>
      <x:c r="J276" t="str">
        <x:v>Completed</x:v>
      </x:c>
      <x:c r="K276" t="n">
        <x:f>H276*I276</x:f>
        <x:v>3600</x:v>
      </x:c>
      <x:c r="L276" s="16" t="n">
        <x:f>IF(J276="Completed",K276*0.80,0)</x:f>
        <x:v>2880</x:v>
      </x:c>
      <x:c r="M276" t="n">
        <x:v>4.7</x:v>
      </x:c>
      <x:c r="N276" t="str">
        <x:v>No</x:v>
      </x:c>
      <x:c r="O276" t="str">
        <x:v>Customer Success</x:v>
      </x:c>
    </x:row>
    <x:row r="277">
      <x:c r="A277" t="str">
        <x:v>CRB5275</x:v>
      </x:c>
      <x:c r="B277" t="str">
        <x:v>2026-07-06</x:v>
      </x:c>
      <x:c r="C277" t="str">
        <x:v>Ananya Reddy</x:v>
      </x:c>
      <x:c r="D277" t="str">
        <x:v>u2299</x:v>
      </x:c>
      <x:c r="E277" t="str">
        <x:v>Referral</x:v>
      </x:c>
      <x:c r="F277" t="str">
        <x:v>Jaipur</x:v>
      </x:c>
      <x:c r="G277" t="str">
        <x:v>Pottery</x:v>
      </x:c>
      <x:c r="H277" t="n">
        <x:v>10</x:v>
      </x:c>
      <x:c r="I277" t="n">
        <x:v>2500</x:v>
      </x:c>
      <x:c r="J277" t="str">
        <x:v>Completed</x:v>
      </x:c>
      <x:c r="K277" t="n">
        <x:f>H277*I277</x:f>
        <x:v>25000</x:v>
      </x:c>
      <x:c r="L277" s="16" t="n">
        <x:f>IF(J277="Completed",K277*0.80,0)</x:f>
        <x:v>20000</x:v>
      </x:c>
      <x:c r="M277" t="n">
        <x:v>4.3</x:v>
      </x:c>
      <x:c r="N277" t="str">
        <x:v>No</x:v>
      </x:c>
      <x:c r="O277" t="str">
        <x:v>Traveler Success</x:v>
      </x:c>
    </x:row>
    <x:row r="278">
      <x:c r="A278" t="str">
        <x:v>CRB5276</x:v>
      </x:c>
      <x:c r="B278" t="str">
        <x:v>2026-07-06</x:v>
      </x:c>
      <x:c r="C278" t="str">
        <x:v>Sofia Martinez</x:v>
      </x:c>
      <x:c r="D278" t="str">
        <x:v>u2301</x:v>
      </x:c>
      <x:c r="E278" t="str">
        <x:v>Travel Blog</x:v>
      </x:c>
      <x:c r="F278" t="str">
        <x:v>Bangalore</x:v>
      </x:c>
      <x:c r="G278" t="str">
        <x:v>Pottery</x:v>
      </x:c>
      <x:c r="H278" t="n">
        <x:v>3</x:v>
      </x:c>
      <x:c r="I278" t="n">
        <x:v>2000</x:v>
      </x:c>
      <x:c r="J278" t="str">
        <x:v>No-show</x:v>
      </x:c>
      <x:c r="K278" t="n">
        <x:f>H278*I278</x:f>
        <x:v>6000</x:v>
      </x:c>
      <x:c r="L278" s="16" t="n">
        <x:f>IF(J278="Completed",K278*0.80,0)</x:f>
        <x:v>0</x:v>
      </x:c>
      <x:c r="M278" t="str"/>
      <x:c r="N278" t="str">
        <x:v>No</x:v>
      </x:c>
      <x:c r="O278" t="str">
        <x:v>Revenue / Enterprise Team</x:v>
      </x:c>
    </x:row>
    <x:row r="279">
      <x:c r="A279" t="str">
        <x:v>CRB5277</x:v>
      </x:c>
      <x:c r="B279" t="str">
        <x:v>2026-07-06</x:v>
      </x:c>
      <x:c r="C279" t="str">
        <x:v>Priya Sharma</x:v>
      </x:c>
      <x:c r="D279" t="str">
        <x:v>u2302</x:v>
      </x:c>
      <x:c r="E279" t="str">
        <x:v>Direct</x:v>
      </x:c>
      <x:c r="F279" t="str">
        <x:v>Jaipur</x:v>
      </x:c>
      <x:c r="G279" t="str">
        <x:v>Pottery</x:v>
      </x:c>
      <x:c r="H279" t="n">
        <x:v>2</x:v>
      </x:c>
      <x:c r="I279" t="n">
        <x:v>2000</x:v>
      </x:c>
      <x:c r="J279" t="str">
        <x:v>Completed</x:v>
      </x:c>
      <x:c r="K279" t="n">
        <x:f>H279*I279</x:f>
        <x:v>4000</x:v>
      </x:c>
      <x:c r="L279" s="16" t="n">
        <x:f>IF(J279="Completed",K279*0.80,0)</x:f>
        <x:v>3200</x:v>
      </x:c>
      <x:c r="M279" t="n">
        <x:v>4.4</x:v>
      </x:c>
      <x:c r="N279" t="str">
        <x:v>Yes</x:v>
      </x:c>
      <x:c r="O279" t="str">
        <x:v>Traveler Success</x:v>
      </x:c>
    </x:row>
    <x:row r="280">
      <x:c r="A280" t="str">
        <x:v>CRB5278</x:v>
      </x:c>
      <x:c r="B280" t="str">
        <x:v>2026-07-06</x:v>
      </x:c>
      <x:c r="C280" t="str">
        <x:v>Sofia Martinez</x:v>
      </x:c>
      <x:c r="D280" t="str">
        <x:v>u2303</x:v>
      </x:c>
      <x:c r="E280" t="str">
        <x:v>Referral</x:v>
      </x:c>
      <x:c r="F280" t="str">
        <x:v>Jaipur</x:v>
      </x:c>
      <x:c r="G280" t="str">
        <x:v>Warli Painting</x:v>
      </x:c>
      <x:c r="H280" t="n">
        <x:v>1</x:v>
      </x:c>
      <x:c r="I280" t="n">
        <x:v>2200</x:v>
      </x:c>
      <x:c r="J280" t="str">
        <x:v>Completed</x:v>
      </x:c>
      <x:c r="K280" t="n">
        <x:f>H280*I280</x:f>
        <x:v>2200</x:v>
      </x:c>
      <x:c r="L280" s="16" t="n">
        <x:f>IF(J280="Completed",K280*0.80,0)</x:f>
        <x:v>1760</x:v>
      </x:c>
      <x:c r="M280" t="n">
        <x:v>4.7</x:v>
      </x:c>
      <x:c r="N280" t="str">
        <x:v>No</x:v>
      </x:c>
      <x:c r="O280" t="str">
        <x:v>Customer Success</x:v>
      </x:c>
    </x:row>
    <x:row r="281">
      <x:c r="A281" t="str">
        <x:v>CRB5279</x:v>
      </x:c>
      <x:c r="B281" t="str">
        <x:v>2026-07-06</x:v>
      </x:c>
      <x:c r="C281" t="str">
        <x:v>Mark Thompson</x:v>
      </x:c>
      <x:c r="D281" t="str">
        <x:v>u2309</x:v>
      </x:c>
      <x:c r="E281" t="str">
        <x:v>Travel Blog</x:v>
      </x:c>
      <x:c r="F281" t="str">
        <x:v>Bangalore</x:v>
      </x:c>
      <x:c r="G281" t="str">
        <x:v>Blue Pottery</x:v>
      </x:c>
      <x:c r="H281" t="n">
        <x:v>6</x:v>
      </x:c>
      <x:c r="I281" t="n">
        <x:v>1500</x:v>
      </x:c>
      <x:c r="J281" t="str">
        <x:v>Completed</x:v>
      </x:c>
      <x:c r="K281" t="n">
        <x:f>H281*I281</x:f>
        <x:v>9000</x:v>
      </x:c>
      <x:c r="L281" s="16" t="n">
        <x:f>IF(J281="Completed",K281*0.80,0)</x:f>
        <x:v>7200</x:v>
      </x:c>
      <x:c r="M281" t="n">
        <x:v>5</x:v>
      </x:c>
      <x:c r="N281" t="str">
        <x:v>No</x:v>
      </x:c>
      <x:c r="O281" t="str">
        <x:v>Traveler Success</x:v>
      </x:c>
    </x:row>
    <x:row r="282">
      <x:c r="A282" t="str">
        <x:v>CRB5280</x:v>
      </x:c>
      <x:c r="B282" t="str">
        <x:v>2026-07-06</x:v>
      </x:c>
      <x:c r="C282" t="str">
        <x:v>Mark Thompson</x:v>
      </x:c>
      <x:c r="D282" t="str">
        <x:v>u2315</x:v>
      </x:c>
      <x:c r="E282" t="str">
        <x:v>Travel Blog</x:v>
      </x:c>
      <x:c r="F282" t="str">
        <x:v>Jaipur</x:v>
      </x:c>
      <x:c r="G282" t="str">
        <x:v>Blue Pottery</x:v>
      </x:c>
      <x:c r="H282" t="n">
        <x:v>2</x:v>
      </x:c>
      <x:c r="I282" t="n">
        <x:v>1500</x:v>
      </x:c>
      <x:c r="J282" t="str">
        <x:v>Completed</x:v>
      </x:c>
      <x:c r="K282" t="n">
        <x:f>H282*I282</x:f>
        <x:v>3000</x:v>
      </x:c>
      <x:c r="L282" s="16" t="n">
        <x:f>IF(J282="Completed",K282*0.80,0)</x:f>
        <x:v>2400</x:v>
      </x:c>
      <x:c r="M282" t="n">
        <x:v>4</x:v>
      </x:c>
      <x:c r="N282" t="str">
        <x:v>No</x:v>
      </x:c>
      <x:c r="O282" t="str">
        <x:v>Customer Success</x:v>
      </x:c>
    </x:row>
    <x:row r="283">
      <x:c r="A283" t="str">
        <x:v>CRB5281</x:v>
      </x:c>
      <x:c r="B283" t="str">
        <x:v>2026-07-06</x:v>
      </x:c>
      <x:c r="C283" t="str">
        <x:v>Priya Sharma</x:v>
      </x:c>
      <x:c r="D283" t="str">
        <x:v>u2319</x:v>
      </x:c>
      <x:c r="E283" t="str">
        <x:v>Travel Blog</x:v>
      </x:c>
      <x:c r="F283" t="str">
        <x:v>Bangalore</x:v>
      </x:c>
      <x:c r="G283" t="str">
        <x:v>Blue Pottery</x:v>
      </x:c>
      <x:c r="H283" t="n">
        <x:v>2</x:v>
      </x:c>
      <x:c r="I283" t="n">
        <x:v>1500</x:v>
      </x:c>
      <x:c r="J283" t="str">
        <x:v>Completed</x:v>
      </x:c>
      <x:c r="K283" t="n">
        <x:f>H283*I283</x:f>
        <x:v>3000</x:v>
      </x:c>
      <x:c r="L283" s="16" t="n">
        <x:f>IF(J283="Completed",K283*0.80,0)</x:f>
        <x:v>2400</x:v>
      </x:c>
      <x:c r="M283" t="n">
        <x:v>4.9</x:v>
      </x:c>
      <x:c r="N283" t="str">
        <x:v>No</x:v>
      </x:c>
      <x:c r="O283" t="str">
        <x:v>Traveler Success</x:v>
      </x:c>
    </x:row>
    <x:row r="284">
      <x:c r="A284" t="str">
        <x:v>CRB5282</x:v>
      </x:c>
      <x:c r="B284" t="str">
        <x:v>2026-07-06</x:v>
      </x:c>
      <x:c r="C284" t="str">
        <x:v>Mark Thompson</x:v>
      </x:c>
      <x:c r="D284" t="str">
        <x:v>u2338</x:v>
      </x:c>
      <x:c r="E284" t="str">
        <x:v>Google Search</x:v>
      </x:c>
      <x:c r="F284" t="str">
        <x:v>Udaipur</x:v>
      </x:c>
      <x:c r="G284" t="str">
        <x:v>Blue Pottery</x:v>
      </x:c>
      <x:c r="H284" t="n">
        <x:v>6</x:v>
      </x:c>
      <x:c r="I284" t="n">
        <x:v>2200</x:v>
      </x:c>
      <x:c r="J284" t="str">
        <x:v>Completed</x:v>
      </x:c>
      <x:c r="K284" t="n">
        <x:f>H284*I284</x:f>
        <x:v>13200</x:v>
      </x:c>
      <x:c r="L284" s="16" t="n">
        <x:f>IF(J284="Completed",K284*0.80,0)</x:f>
        <x:v>10560</x:v>
      </x:c>
      <x:c r="M284" t="n">
        <x:v>5</x:v>
      </x:c>
      <x:c r="N284" t="str">
        <x:v>No</x:v>
      </x:c>
      <x:c r="O284" t="str">
        <x:v>Traveler Success</x:v>
      </x:c>
    </x:row>
    <x:row r="285">
      <x:c r="A285" t="str">
        <x:v>CRB5283</x:v>
      </x:c>
      <x:c r="B285" t="str">
        <x:v>2026-07-06</x:v>
      </x:c>
      <x:c r="C285" t="str">
        <x:v>Priya Sharma</x:v>
      </x:c>
      <x:c r="D285" t="str">
        <x:v>u2342</x:v>
      </x:c>
      <x:c r="E285" t="str">
        <x:v>Referral</x:v>
      </x:c>
      <x:c r="F285" t="str">
        <x:v>Jaipur</x:v>
      </x:c>
      <x:c r="G285" t="str">
        <x:v>Block Printing</x:v>
      </x:c>
      <x:c r="H285" t="n">
        <x:v>3</x:v>
      </x:c>
      <x:c r="I285" t="n">
        <x:v>1500</x:v>
      </x:c>
      <x:c r="J285" t="str">
        <x:v>Completed</x:v>
      </x:c>
      <x:c r="K285" t="n">
        <x:f>H285*I285</x:f>
        <x:v>4500</x:v>
      </x:c>
      <x:c r="L285" s="16" t="n">
        <x:f>IF(J285="Completed",K285*0.80,0)</x:f>
        <x:v>3600</x:v>
      </x:c>
      <x:c r="M285" t="n">
        <x:v>4.4</x:v>
      </x:c>
      <x:c r="N285" t="str">
        <x:v>No</x:v>
      </x:c>
      <x:c r="O285" t="str">
        <x:v>Customer Success</x:v>
      </x:c>
    </x:row>
    <x:row r="286">
      <x:c r="A286" t="str">
        <x:v>CRB5284</x:v>
      </x:c>
      <x:c r="B286" t="str">
        <x:v>2026-07-06</x:v>
      </x:c>
      <x:c r="C286" t="str">
        <x:v>Rahul Mehta</x:v>
      </x:c>
      <x:c r="D286" t="str">
        <x:v>u2343</x:v>
      </x:c>
      <x:c r="E286" t="str">
        <x:v>Travel Blog</x:v>
      </x:c>
      <x:c r="F286" t="str">
        <x:v>Udaipur</x:v>
      </x:c>
      <x:c r="G286" t="str">
        <x:v>Weaving</x:v>
      </x:c>
      <x:c r="H286" t="n">
        <x:v>2</x:v>
      </x:c>
      <x:c r="I286" t="n">
        <x:v>2200</x:v>
      </x:c>
      <x:c r="J286" t="str">
        <x:v>Completed</x:v>
      </x:c>
      <x:c r="K286" t="n">
        <x:f>H286*I286</x:f>
        <x:v>4400</x:v>
      </x:c>
      <x:c r="L286" s="16" t="n">
        <x:f>IF(J286="Completed",K286*0.80,0)</x:f>
        <x:v>3520</x:v>
      </x:c>
      <x:c r="M286" t="n">
        <x:v>4.5</x:v>
      </x:c>
      <x:c r="N286" t="str">
        <x:v>No</x:v>
      </x:c>
      <x:c r="O286" t="str">
        <x:v>Traveler Success</x:v>
      </x:c>
    </x:row>
    <x:row r="287">
      <x:c r="A287" t="str">
        <x:v>CRB5285</x:v>
      </x:c>
      <x:c r="B287" t="str">
        <x:v>2026-07-06</x:v>
      </x:c>
      <x:c r="C287" t="str">
        <x:v>Rahul Mehta</x:v>
      </x:c>
      <x:c r="D287" t="str">
        <x:v>u2347</x:v>
      </x:c>
      <x:c r="E287" t="str">
        <x:v>Instagram</x:v>
      </x:c>
      <x:c r="F287" t="str">
        <x:v>Khurja</x:v>
      </x:c>
      <x:c r="G287" t="str">
        <x:v>Warli Painting</x:v>
      </x:c>
      <x:c r="H287" t="n">
        <x:v>1</x:v>
      </x:c>
      <x:c r="I287" t="n">
        <x:v>1500</x:v>
      </x:c>
      <x:c r="J287" t="str">
        <x:v>No-show</x:v>
      </x:c>
      <x:c r="K287" t="n">
        <x:f>H287*I287</x:f>
        <x:v>1500</x:v>
      </x:c>
      <x:c r="L287" s="16" t="n">
        <x:f>IF(J287="Completed",K287*0.80,0)</x:f>
        <x:v>0</x:v>
      </x:c>
      <x:c r="M287" t="str"/>
      <x:c r="N287" t="str">
        <x:v>No</x:v>
      </x:c>
      <x:c r="O287" t="str">
        <x:v>Customer Success</x:v>
      </x:c>
    </x:row>
    <x:row r="288">
      <x:c r="A288" t="str">
        <x:v>CRB5286</x:v>
      </x:c>
      <x:c r="B288" t="str">
        <x:v>2026-07-06</x:v>
      </x:c>
      <x:c r="C288" t="str">
        <x:v>Mark Thompson</x:v>
      </x:c>
      <x:c r="D288" t="str">
        <x:v>u2355</x:v>
      </x:c>
      <x:c r="E288" t="str">
        <x:v>Referral</x:v>
      </x:c>
      <x:c r="F288" t="str">
        <x:v>Udaipur</x:v>
      </x:c>
      <x:c r="G288" t="str">
        <x:v>Pottery</x:v>
      </x:c>
      <x:c r="H288" t="n">
        <x:v>10</x:v>
      </x:c>
      <x:c r="I288" t="n">
        <x:v>3000</x:v>
      </x:c>
      <x:c r="J288" t="str">
        <x:v>Completed</x:v>
      </x:c>
      <x:c r="K288" t="n">
        <x:f>H288*I288</x:f>
        <x:v>30000</x:v>
      </x:c>
      <x:c r="L288" s="16" t="n">
        <x:f>IF(J288="Completed",K288*0.80,0)</x:f>
        <x:v>24000</x:v>
      </x:c>
      <x:c r="M288" t="n">
        <x:v>4.6</x:v>
      </x:c>
      <x:c r="N288" t="str">
        <x:v>No</x:v>
      </x:c>
      <x:c r="O288" t="str">
        <x:v>Revenue / Enterprise Team</x:v>
      </x:c>
    </x:row>
    <x:row r="289">
      <x:c r="A289" t="str">
        <x:v>CRB5287</x:v>
      </x:c>
      <x:c r="B289" t="str">
        <x:v>2026-07-07</x:v>
      </x:c>
      <x:c r="C289" t="str">
        <x:v>Ananya Reddy</x:v>
      </x:c>
      <x:c r="D289" t="str">
        <x:v>u2360</x:v>
      </x:c>
      <x:c r="E289" t="str">
        <x:v>Referral</x:v>
      </x:c>
      <x:c r="F289" t="str">
        <x:v>Varanasi</x:v>
      </x:c>
      <x:c r="G289" t="str">
        <x:v>Pottery</x:v>
      </x:c>
      <x:c r="H289" t="n">
        <x:v>10</x:v>
      </x:c>
      <x:c r="I289" t="n">
        <x:v>1800</x:v>
      </x:c>
      <x:c r="J289" t="str">
        <x:v>Completed</x:v>
      </x:c>
      <x:c r="K289" t="n">
        <x:f>H289*I289</x:f>
        <x:v>18000</x:v>
      </x:c>
      <x:c r="L289" s="16" t="n">
        <x:f>IF(J289="Completed",K289*0.80,0)</x:f>
        <x:v>14400</x:v>
      </x:c>
      <x:c r="M289" t="n">
        <x:v>4.9</x:v>
      </x:c>
      <x:c r="N289" t="str">
        <x:v>No</x:v>
      </x:c>
      <x:c r="O289" t="str">
        <x:v>Revenue / Enterprise Team</x:v>
      </x:c>
    </x:row>
    <x:row r="290">
      <x:c r="A290" t="str">
        <x:v>CRB5288</x:v>
      </x:c>
      <x:c r="B290" t="str">
        <x:v>2026-07-07</x:v>
      </x:c>
      <x:c r="C290" t="str">
        <x:v>Priya Sharma</x:v>
      </x:c>
      <x:c r="D290" t="str">
        <x:v>u2371</x:v>
      </x:c>
      <x:c r="E290" t="str">
        <x:v>Referral</x:v>
      </x:c>
      <x:c r="F290" t="str">
        <x:v>Jaipur</x:v>
      </x:c>
      <x:c r="G290" t="str">
        <x:v>Block Printing</x:v>
      </x:c>
      <x:c r="H290" t="n">
        <x:v>1</x:v>
      </x:c>
      <x:c r="I290" t="n">
        <x:v>1500</x:v>
      </x:c>
      <x:c r="J290" t="str">
        <x:v>Completed</x:v>
      </x:c>
      <x:c r="K290" t="n">
        <x:f>H290*I290</x:f>
        <x:v>1500</x:v>
      </x:c>
      <x:c r="L290" s="16" t="n">
        <x:f>IF(J290="Completed",K290*0.80,0)</x:f>
        <x:v>1200</x:v>
      </x:c>
      <x:c r="M290" t="n">
        <x:v>4.4</x:v>
      </x:c>
      <x:c r="N290" t="str">
        <x:v>No</x:v>
      </x:c>
      <x:c r="O290" t="str">
        <x:v>Revenue / Enterprise Team</x:v>
      </x:c>
    </x:row>
    <x:row r="291">
      <x:c r="A291" t="str">
        <x:v>CRB5289</x:v>
      </x:c>
      <x:c r="B291" t="str">
        <x:v>2026-07-07</x:v>
      </x:c>
      <x:c r="C291" t="str">
        <x:v>Rahul Mehta</x:v>
      </x:c>
      <x:c r="D291" t="str">
        <x:v>u2374</x:v>
      </x:c>
      <x:c r="E291" t="str">
        <x:v>Instagram</x:v>
      </x:c>
      <x:c r="F291" t="str">
        <x:v>Udaipur</x:v>
      </x:c>
      <x:c r="G291" t="str">
        <x:v>Warli Painting</x:v>
      </x:c>
      <x:c r="H291" t="n">
        <x:v>1</x:v>
      </x:c>
      <x:c r="I291" t="n">
        <x:v>2500</x:v>
      </x:c>
      <x:c r="J291" t="str">
        <x:v>Completed</x:v>
      </x:c>
      <x:c r="K291" t="n">
        <x:f>H291*I291</x:f>
        <x:v>2500</x:v>
      </x:c>
      <x:c r="L291" s="16" t="n">
        <x:f>IF(J291="Completed",K291*0.80,0)</x:f>
        <x:v>2000</x:v>
      </x:c>
      <x:c r="M291" t="n">
        <x:v>4.9</x:v>
      </x:c>
      <x:c r="N291" t="str">
        <x:v>No</x:v>
      </x:c>
      <x:c r="O291" t="str">
        <x:v>Traveler Success</x:v>
      </x:c>
    </x:row>
    <x:row r="292">
      <x:c r="A292" t="str">
        <x:v>CRB5290</x:v>
      </x:c>
      <x:c r="B292" t="str">
        <x:v>2026-07-07</x:v>
      </x:c>
      <x:c r="C292" t="str">
        <x:v>Rahul Mehta</x:v>
      </x:c>
      <x:c r="D292" t="str">
        <x:v>u2378</x:v>
      </x:c>
      <x:c r="E292" t="str">
        <x:v>Referral</x:v>
      </x:c>
      <x:c r="F292" t="str">
        <x:v>Varanasi</x:v>
      </x:c>
      <x:c r="G292" t="str">
        <x:v>Blue Pottery</x:v>
      </x:c>
      <x:c r="H292" t="n">
        <x:v>10</x:v>
      </x:c>
      <x:c r="I292" t="n">
        <x:v>1800</x:v>
      </x:c>
      <x:c r="J292" t="str">
        <x:v>Cancelled</x:v>
      </x:c>
      <x:c r="K292" t="n">
        <x:f>H292*I292</x:f>
        <x:v>18000</x:v>
      </x:c>
      <x:c r="L292" s="16" t="n">
        <x:f>IF(J292="Completed",K292*0.80,0)</x:f>
        <x:v>0</x:v>
      </x:c>
      <x:c r="M292" t="str"/>
      <x:c r="N292" t="str">
        <x:v>Yes</x:v>
      </x:c>
      <x:c r="O292" t="str">
        <x:v>Customer Success</x:v>
      </x:c>
    </x:row>
    <x:row r="293">
      <x:c r="A293" t="str">
        <x:v>CRB5291</x:v>
      </x:c>
      <x:c r="B293" t="str">
        <x:v>2026-07-07</x:v>
      </x:c>
      <x:c r="C293" t="str">
        <x:v>Sofia Martinez</x:v>
      </x:c>
      <x:c r="D293" t="str">
        <x:v>u2382</x:v>
      </x:c>
      <x:c r="E293" t="str">
        <x:v>Google Search</x:v>
      </x:c>
      <x:c r="F293" t="str">
        <x:v>Jaipur</x:v>
      </x:c>
      <x:c r="G293" t="str">
        <x:v>Warli Painting</x:v>
      </x:c>
      <x:c r="H293" t="n">
        <x:v>12</x:v>
      </x:c>
      <x:c r="I293" t="n">
        <x:v>1500</x:v>
      </x:c>
      <x:c r="J293" t="str">
        <x:v>Completed</x:v>
      </x:c>
      <x:c r="K293" t="n">
        <x:f>H293*I293</x:f>
        <x:v>18000</x:v>
      </x:c>
      <x:c r="L293" s="16" t="n">
        <x:f>IF(J293="Completed",K293*0.80,0)</x:f>
        <x:v>14400</x:v>
      </x:c>
      <x:c r="M293" t="n">
        <x:v>4.1</x:v>
      </x:c>
      <x:c r="N293" t="str">
        <x:v>No</x:v>
      </x:c>
      <x:c r="O293" t="str">
        <x:v>Customer Success</x:v>
      </x:c>
    </x:row>
    <x:row r="294">
      <x:c r="A294" t="str">
        <x:v>CRB5292</x:v>
      </x:c>
      <x:c r="B294" t="str">
        <x:v>2026-07-07</x:v>
      </x:c>
      <x:c r="C294" t="str">
        <x:v>Mark Thompson</x:v>
      </x:c>
      <x:c r="D294" t="str">
        <x:v>u2385</x:v>
      </x:c>
      <x:c r="E294" t="str">
        <x:v>Referral</x:v>
      </x:c>
      <x:c r="F294" t="str">
        <x:v>Khurja</x:v>
      </x:c>
      <x:c r="G294" t="str">
        <x:v>Block Printing</x:v>
      </x:c>
      <x:c r="H294" t="n">
        <x:v>6</x:v>
      </x:c>
      <x:c r="I294" t="n">
        <x:v>1500</x:v>
      </x:c>
      <x:c r="J294" t="str">
        <x:v>Completed</x:v>
      </x:c>
      <x:c r="K294" t="n">
        <x:f>H294*I294</x:f>
        <x:v>9000</x:v>
      </x:c>
      <x:c r="L294" s="16" t="n">
        <x:f>IF(J294="Completed",K294*0.80,0)</x:f>
        <x:v>7200</x:v>
      </x:c>
      <x:c r="M294" t="n">
        <x:v>4.4</x:v>
      </x:c>
      <x:c r="N294" t="str">
        <x:v>Yes</x:v>
      </x:c>
      <x:c r="O294" t="str">
        <x:v>Customer Success</x:v>
      </x:c>
    </x:row>
    <x:row r="295">
      <x:c r="A295" t="str">
        <x:v>CRB5293</x:v>
      </x:c>
      <x:c r="B295" t="str">
        <x:v>2026-07-07</x:v>
      </x:c>
      <x:c r="C295" t="str">
        <x:v>Sofia Martinez</x:v>
      </x:c>
      <x:c r="D295" t="str">
        <x:v>u2399</x:v>
      </x:c>
      <x:c r="E295" t="str">
        <x:v>Google Search</x:v>
      </x:c>
      <x:c r="F295" t="str">
        <x:v>Khurja</x:v>
      </x:c>
      <x:c r="G295" t="str">
        <x:v>Weaving</x:v>
      </x:c>
      <x:c r="H295" t="n">
        <x:v>1</x:v>
      </x:c>
      <x:c r="I295" t="n">
        <x:v>2000</x:v>
      </x:c>
      <x:c r="J295" t="str">
        <x:v>Completed</x:v>
      </x:c>
      <x:c r="K295" t="n">
        <x:f>H295*I295</x:f>
        <x:v>2000</x:v>
      </x:c>
      <x:c r="L295" s="16" t="n">
        <x:f>IF(J295="Completed",K295*0.80,0)</x:f>
        <x:v>1600</x:v>
      </x:c>
      <x:c r="M295" t="n">
        <x:v>4.9</x:v>
      </x:c>
      <x:c r="N295" t="str">
        <x:v>No</x:v>
      </x:c>
      <x:c r="O295" t="str">
        <x:v>Customer Success</x:v>
      </x:c>
    </x:row>
    <x:row r="296">
      <x:c r="A296" t="str">
        <x:v>CRB5294</x:v>
      </x:c>
      <x:c r="B296" t="str">
        <x:v>2026-07-07</x:v>
      </x:c>
      <x:c r="C296" t="str">
        <x:v>Rahul Mehta</x:v>
      </x:c>
      <x:c r="D296" t="str">
        <x:v>u2403</x:v>
      </x:c>
      <x:c r="E296" t="str">
        <x:v>Referral</x:v>
      </x:c>
      <x:c r="F296" t="str">
        <x:v>Varanasi</x:v>
      </x:c>
      <x:c r="G296" t="str">
        <x:v>Block Printing</x:v>
      </x:c>
      <x:c r="H296" t="n">
        <x:v>2</x:v>
      </x:c>
      <x:c r="I296" t="n">
        <x:v>2000</x:v>
      </x:c>
      <x:c r="J296" t="str">
        <x:v>Completed</x:v>
      </x:c>
      <x:c r="K296" t="n">
        <x:f>H296*I296</x:f>
        <x:v>4000</x:v>
      </x:c>
      <x:c r="L296" s="16" t="n">
        <x:f>IF(J296="Completed",K296*0.80,0)</x:f>
        <x:v>3200</x:v>
      </x:c>
      <x:c r="M296" t="n">
        <x:v>4.7</x:v>
      </x:c>
      <x:c r="N296" t="str">
        <x:v>No</x:v>
      </x:c>
      <x:c r="O296" t="str">
        <x:v>Traveler Success</x:v>
      </x:c>
    </x:row>
    <x:row r="297">
      <x:c r="A297" t="str">
        <x:v>CRB5295</x:v>
      </x:c>
      <x:c r="B297" t="str">
        <x:v>2026-07-07</x:v>
      </x:c>
      <x:c r="C297" t="str">
        <x:v>Ananya Reddy</x:v>
      </x:c>
      <x:c r="D297" t="str">
        <x:v>u2406</x:v>
      </x:c>
      <x:c r="E297" t="str">
        <x:v>Google Search</x:v>
      </x:c>
      <x:c r="F297" t="str">
        <x:v>Khurja</x:v>
      </x:c>
      <x:c r="G297" t="str">
        <x:v>Blue Pottery</x:v>
      </x:c>
      <x:c r="H297" t="n">
        <x:v>6</x:v>
      </x:c>
      <x:c r="I297" t="n">
        <x:v>2000</x:v>
      </x:c>
      <x:c r="J297" t="str">
        <x:v>Completed</x:v>
      </x:c>
      <x:c r="K297" t="n">
        <x:f>H297*I297</x:f>
        <x:v>12000</x:v>
      </x:c>
      <x:c r="L297" s="16" t="n">
        <x:f>IF(J297="Completed",K297*0.80,0)</x:f>
        <x:v>9600</x:v>
      </x:c>
      <x:c r="M297" t="n">
        <x:v>4</x:v>
      </x:c>
      <x:c r="N297" t="str">
        <x:v>Yes</x:v>
      </x:c>
      <x:c r="O297" t="str">
        <x:v>Traveler Success</x:v>
      </x:c>
    </x:row>
    <x:row r="298">
      <x:c r="A298" t="str">
        <x:v>CRB5296</x:v>
      </x:c>
      <x:c r="B298" t="str">
        <x:v>2026-07-07</x:v>
      </x:c>
      <x:c r="C298" t="str">
        <x:v>Sofia Martinez</x:v>
      </x:c>
      <x:c r="D298" t="str">
        <x:v>u2414</x:v>
      </x:c>
      <x:c r="E298" t="str">
        <x:v>Travel Blog</x:v>
      </x:c>
      <x:c r="F298" t="str">
        <x:v>Udaipur</x:v>
      </x:c>
      <x:c r="G298" t="str">
        <x:v>Warli Painting</x:v>
      </x:c>
      <x:c r="H298" t="n">
        <x:v>3</x:v>
      </x:c>
      <x:c r="I298" t="n">
        <x:v>2500</x:v>
      </x:c>
      <x:c r="J298" t="str">
        <x:v>Completed</x:v>
      </x:c>
      <x:c r="K298" t="n">
        <x:f>H298*I298</x:f>
        <x:v>7500</x:v>
      </x:c>
      <x:c r="L298" s="16" t="n">
        <x:f>IF(J298="Completed",K298*0.80,0)</x:f>
        <x:v>6000</x:v>
      </x:c>
      <x:c r="M298" t="n">
        <x:v>4.7</x:v>
      </x:c>
      <x:c r="N298" t="str">
        <x:v>No</x:v>
      </x:c>
      <x:c r="O298" t="str">
        <x:v>Customer Success</x:v>
      </x:c>
    </x:row>
    <x:row r="299">
      <x:c r="A299" t="str">
        <x:v>CRB5297</x:v>
      </x:c>
      <x:c r="B299" t="str">
        <x:v>2026-07-07</x:v>
      </x:c>
      <x:c r="C299" t="str">
        <x:v>Ananya Reddy</x:v>
      </x:c>
      <x:c r="D299" t="str">
        <x:v>u2415</x:v>
      </x:c>
      <x:c r="E299" t="str">
        <x:v>Google Search</x:v>
      </x:c>
      <x:c r="F299" t="str">
        <x:v>Varanasi</x:v>
      </x:c>
      <x:c r="G299" t="str">
        <x:v>Weaving</x:v>
      </x:c>
      <x:c r="H299" t="n">
        <x:v>3</x:v>
      </x:c>
      <x:c r="I299" t="n">
        <x:v>2000</x:v>
      </x:c>
      <x:c r="J299" t="str">
        <x:v>Completed</x:v>
      </x:c>
      <x:c r="K299" t="n">
        <x:f>H299*I299</x:f>
        <x:v>6000</x:v>
      </x:c>
      <x:c r="L299" s="16" t="n">
        <x:f>IF(J299="Completed",K299*0.80,0)</x:f>
        <x:v>4800</x:v>
      </x:c>
      <x:c r="M299" t="n">
        <x:v>4.9</x:v>
      </x:c>
      <x:c r="N299" t="str">
        <x:v>No</x:v>
      </x:c>
      <x:c r="O299" t="str">
        <x:v>Traveler Success</x:v>
      </x:c>
    </x:row>
    <x:row r="300">
      <x:c r="A300" t="str">
        <x:v>CRB5298</x:v>
      </x:c>
      <x:c r="B300" t="str">
        <x:v>2026-07-07</x:v>
      </x:c>
      <x:c r="C300" t="str">
        <x:v>Sofia Martinez</x:v>
      </x:c>
      <x:c r="D300" t="str">
        <x:v>u2421</x:v>
      </x:c>
      <x:c r="E300" t="str">
        <x:v>Direct</x:v>
      </x:c>
      <x:c r="F300" t="str">
        <x:v>Jaipur</x:v>
      </x:c>
      <x:c r="G300" t="str">
        <x:v>Blue Pottery</x:v>
      </x:c>
      <x:c r="H300" t="n">
        <x:v>3</x:v>
      </x:c>
      <x:c r="I300" t="n">
        <x:v>3500</x:v>
      </x:c>
      <x:c r="J300" t="str">
        <x:v>Completed</x:v>
      </x:c>
      <x:c r="K300" t="n">
        <x:f>H300*I300</x:f>
        <x:v>10500</x:v>
      </x:c>
      <x:c r="L300" s="16" t="n">
        <x:f>IF(J300="Completed",K300*0.80,0)</x:f>
        <x:v>8400</x:v>
      </x:c>
      <x:c r="M300" t="n">
        <x:v>4</x:v>
      </x:c>
      <x:c r="N300" t="str">
        <x:v>No</x:v>
      </x:c>
      <x:c r="O300" t="str">
        <x:v>Customer Success</x:v>
      </x:c>
    </x:row>
    <x:row r="301">
      <x:c r="A301" t="str">
        <x:v>CRB5299</x:v>
      </x:c>
      <x:c r="B301" t="str">
        <x:v>2026-07-07</x:v>
      </x:c>
      <x:c r="C301" t="str">
        <x:v>Ananya Reddy</x:v>
      </x:c>
      <x:c r="D301" t="str">
        <x:v>u2424</x:v>
      </x:c>
      <x:c r="E301" t="str">
        <x:v>Google Search</x:v>
      </x:c>
      <x:c r="F301" t="str">
        <x:v>Bangalore</x:v>
      </x:c>
      <x:c r="G301" t="str">
        <x:v>Blue Pottery</x:v>
      </x:c>
      <x:c r="H301" t="n">
        <x:v>4</x:v>
      </x:c>
      <x:c r="I301" t="n">
        <x:v>1800</x:v>
      </x:c>
      <x:c r="J301" t="str">
        <x:v>Completed</x:v>
      </x:c>
      <x:c r="K301" t="n">
        <x:f>H301*I301</x:f>
        <x:v>7200</x:v>
      </x:c>
      <x:c r="L301" s="16" t="n">
        <x:f>IF(J301="Completed",K301*0.80,0)</x:f>
        <x:v>5760</x:v>
      </x:c>
      <x:c r="M301" t="n">
        <x:v>4.6</x:v>
      </x:c>
      <x:c r="N301" t="str">
        <x:v>Yes</x:v>
      </x:c>
      <x:c r="O301" t="str">
        <x:v>Traveler Success</x:v>
      </x:c>
    </x:row>
    <x:row r="302">
      <x:c r="A302" t="str">
        <x:v>CRB5300</x:v>
      </x:c>
      <x:c r="B302" t="str">
        <x:v>2026-07-07</x:v>
      </x:c>
      <x:c r="C302" t="str">
        <x:v>Rahul Mehta</x:v>
      </x:c>
      <x:c r="D302" t="str">
        <x:v>u2429</x:v>
      </x:c>
      <x:c r="E302" t="str">
        <x:v>Direct</x:v>
      </x:c>
      <x:c r="F302" t="str">
        <x:v>Jaipur</x:v>
      </x:c>
      <x:c r="G302" t="str">
        <x:v>Block Printing</x:v>
      </x:c>
      <x:c r="H302" t="n">
        <x:v>6</x:v>
      </x:c>
      <x:c r="I302" t="n">
        <x:v>3500</x:v>
      </x:c>
      <x:c r="J302" t="str">
        <x:v>Completed</x:v>
      </x:c>
      <x:c r="K302" t="n">
        <x:f>H302*I302</x:f>
        <x:v>21000</x:v>
      </x:c>
      <x:c r="L302" s="16" t="n">
        <x:f>IF(J302="Completed",K302*0.80,0)</x:f>
        <x:v>16800</x:v>
      </x:c>
      <x:c r="M302" t="n">
        <x:v>4.4</x:v>
      </x:c>
      <x:c r="N302" t="str">
        <x:v>No</x:v>
      </x:c>
      <x:c r="O302" t="str">
        <x:v>Traveler Success</x:v>
      </x:c>
    </x:row>
    <x:row r="303">
      <x:c r="A303" t="str">
        <x:v>CRB5301</x:v>
      </x:c>
      <x:c r="B303" t="str">
        <x:v>2026-07-07</x:v>
      </x:c>
      <x:c r="C303" t="str">
        <x:v>Rahul Mehta</x:v>
      </x:c>
      <x:c r="D303" t="str">
        <x:v>u2430</x:v>
      </x:c>
      <x:c r="E303" t="str">
        <x:v>Referral</x:v>
      </x:c>
      <x:c r="F303" t="str">
        <x:v>Varanasi</x:v>
      </x:c>
      <x:c r="G303" t="str">
        <x:v>Blue Pottery</x:v>
      </x:c>
      <x:c r="H303" t="n">
        <x:v>2</x:v>
      </x:c>
      <x:c r="I303" t="n">
        <x:v>1500</x:v>
      </x:c>
      <x:c r="J303" t="str">
        <x:v>Completed</x:v>
      </x:c>
      <x:c r="K303" t="n">
        <x:f>H303*I303</x:f>
        <x:v>3000</x:v>
      </x:c>
      <x:c r="L303" s="16" t="n">
        <x:f>IF(J303="Completed",K303*0.80,0)</x:f>
        <x:v>2400</x:v>
      </x:c>
      <x:c r="M303" t="n">
        <x:v>4.2</x:v>
      </x:c>
      <x:c r="N303" t="str">
        <x:v>No</x:v>
      </x:c>
      <x:c r="O303" t="str">
        <x:v>Traveler Success</x:v>
      </x:c>
    </x:row>
    <x:row r="304">
      <x:c r="A304" t="str">
        <x:v>CRB5302</x:v>
      </x:c>
      <x:c r="B304" t="str">
        <x:v>2026-07-07</x:v>
      </x:c>
      <x:c r="C304" t="str">
        <x:v>Sofia Martinez</x:v>
      </x:c>
      <x:c r="D304" t="str">
        <x:v>u2436</x:v>
      </x:c>
      <x:c r="E304" t="str">
        <x:v>Referral</x:v>
      </x:c>
      <x:c r="F304" t="str">
        <x:v>Bangalore</x:v>
      </x:c>
      <x:c r="G304" t="str">
        <x:v>Pottery</x:v>
      </x:c>
      <x:c r="H304" t="n">
        <x:v>4</x:v>
      </x:c>
      <x:c r="I304" t="n">
        <x:v>2500</x:v>
      </x:c>
      <x:c r="J304" t="str">
        <x:v>Completed</x:v>
      </x:c>
      <x:c r="K304" t="n">
        <x:f>H304*I304</x:f>
        <x:v>10000</x:v>
      </x:c>
      <x:c r="L304" s="16" t="n">
        <x:f>IF(J304="Completed",K304*0.80,0)</x:f>
        <x:v>8000</x:v>
      </x:c>
      <x:c r="M304" t="n">
        <x:v>3.9</x:v>
      </x:c>
      <x:c r="N304" t="str">
        <x:v>No</x:v>
      </x:c>
      <x:c r="O304" t="str">
        <x:v>Customer Success</x:v>
      </x:c>
    </x:row>
    <x:row r="305">
      <x:c r="A305" t="str">
        <x:v>CRB5303</x:v>
      </x:c>
      <x:c r="B305" t="str">
        <x:v>2026-07-07</x:v>
      </x:c>
      <x:c r="C305" t="str">
        <x:v>Priya Sharma</x:v>
      </x:c>
      <x:c r="D305" t="str">
        <x:v>u2437</x:v>
      </x:c>
      <x:c r="E305" t="str">
        <x:v>Instagram</x:v>
      </x:c>
      <x:c r="F305" t="str">
        <x:v>Jaipur</x:v>
      </x:c>
      <x:c r="G305" t="str">
        <x:v>Pottery</x:v>
      </x:c>
      <x:c r="H305" t="n">
        <x:v>12</x:v>
      </x:c>
      <x:c r="I305" t="n">
        <x:v>3000</x:v>
      </x:c>
      <x:c r="J305" t="str">
        <x:v>Completed</x:v>
      </x:c>
      <x:c r="K305" t="n">
        <x:f>H305*I305</x:f>
        <x:v>36000</x:v>
      </x:c>
      <x:c r="L305" s="16" t="n">
        <x:f>IF(J305="Completed",K305*0.80,0)</x:f>
        <x:v>28800</x:v>
      </x:c>
      <x:c r="M305" t="n">
        <x:v>4.8</x:v>
      </x:c>
      <x:c r="N305" t="str">
        <x:v>No</x:v>
      </x:c>
      <x:c r="O305" t="str">
        <x:v>Revenue / Enterprise Team</x:v>
      </x:c>
    </x:row>
    <x:row r="306">
      <x:c r="A306" t="str">
        <x:v>CRB5304</x:v>
      </x:c>
      <x:c r="B306" t="str">
        <x:v>2026-07-07</x:v>
      </x:c>
      <x:c r="C306" t="str">
        <x:v>Priya Sharma</x:v>
      </x:c>
      <x:c r="D306" t="str">
        <x:v>u2448</x:v>
      </x:c>
      <x:c r="E306" t="str">
        <x:v>Travel Blog</x:v>
      </x:c>
      <x:c r="F306" t="str">
        <x:v>Khurja</x:v>
      </x:c>
      <x:c r="G306" t="str">
        <x:v>Pottery</x:v>
      </x:c>
      <x:c r="H306" t="n">
        <x:v>2</x:v>
      </x:c>
      <x:c r="I306" t="n">
        <x:v>2200</x:v>
      </x:c>
      <x:c r="J306" t="str">
        <x:v>Completed</x:v>
      </x:c>
      <x:c r="K306" t="n">
        <x:f>H306*I306</x:f>
        <x:v>4400</x:v>
      </x:c>
      <x:c r="L306" s="16" t="n">
        <x:f>IF(J306="Completed",K306*0.80,0)</x:f>
        <x:v>3520</x:v>
      </x:c>
      <x:c r="M306" t="n">
        <x:v>4.3</x:v>
      </x:c>
      <x:c r="N306" t="str">
        <x:v>Yes</x:v>
      </x:c>
      <x:c r="O306" t="str">
        <x:v>Revenue / Enterprise Team</x:v>
      </x:c>
    </x:row>
    <x:row r="307">
      <x:c r="A307" t="str">
        <x:v>CRB5305</x:v>
      </x:c>
      <x:c r="B307" t="str">
        <x:v>2026-07-07</x:v>
      </x:c>
      <x:c r="C307" t="str">
        <x:v>Rahul Mehta</x:v>
      </x:c>
      <x:c r="D307" t="str">
        <x:v>u2450</x:v>
      </x:c>
      <x:c r="E307" t="str">
        <x:v>Instagram</x:v>
      </x:c>
      <x:c r="F307" t="str">
        <x:v>Khurja</x:v>
      </x:c>
      <x:c r="G307" t="str">
        <x:v>Weaving</x:v>
      </x:c>
      <x:c r="H307" t="n">
        <x:v>10</x:v>
      </x:c>
      <x:c r="I307" t="n">
        <x:v>1800</x:v>
      </x:c>
      <x:c r="J307" t="str">
        <x:v>Completed</x:v>
      </x:c>
      <x:c r="K307" t="n">
        <x:f>H307*I307</x:f>
        <x:v>18000</x:v>
      </x:c>
      <x:c r="L307" s="16" t="n">
        <x:f>IF(J307="Completed",K307*0.80,0)</x:f>
        <x:v>14400</x:v>
      </x:c>
      <x:c r="M307" t="n">
        <x:v>4</x:v>
      </x:c>
      <x:c r="N307" t="str">
        <x:v>No</x:v>
      </x:c>
      <x:c r="O307" t="str">
        <x:v>Customer Success</x:v>
      </x:c>
    </x:row>
    <x:row r="308">
      <x:c r="A308" t="str">
        <x:v>CRB5306</x:v>
      </x:c>
      <x:c r="B308" t="str">
        <x:v>2026-07-07</x:v>
      </x:c>
      <x:c r="C308" t="str">
        <x:v>Priya Sharma</x:v>
      </x:c>
      <x:c r="D308" t="str">
        <x:v>u2454</x:v>
      </x:c>
      <x:c r="E308" t="str">
        <x:v>Travel Blog</x:v>
      </x:c>
      <x:c r="F308" t="str">
        <x:v>Udaipur</x:v>
      </x:c>
      <x:c r="G308" t="str">
        <x:v>Warli Painting</x:v>
      </x:c>
      <x:c r="H308" t="n">
        <x:v>4</x:v>
      </x:c>
      <x:c r="I308" t="n">
        <x:v>3000</x:v>
      </x:c>
      <x:c r="J308" t="str">
        <x:v>Completed</x:v>
      </x:c>
      <x:c r="K308" t="n">
        <x:f>H308*I308</x:f>
        <x:v>12000</x:v>
      </x:c>
      <x:c r="L308" s="16" t="n">
        <x:f>IF(J308="Completed",K308*0.80,0)</x:f>
        <x:v>9600</x:v>
      </x:c>
      <x:c r="M308" t="n">
        <x:v>4.1</x:v>
      </x:c>
      <x:c r="N308" t="str">
        <x:v>No</x:v>
      </x:c>
      <x:c r="O308" t="str">
        <x:v>Traveler Success</x:v>
      </x:c>
    </x:row>
    <x:row r="309">
      <x:c r="A309" t="str">
        <x:v>CRB5307</x:v>
      </x:c>
      <x:c r="B309" t="str">
        <x:v>2026-07-07</x:v>
      </x:c>
      <x:c r="C309" t="str">
        <x:v>Ananya Reddy</x:v>
      </x:c>
      <x:c r="D309" t="str">
        <x:v>u2458</x:v>
      </x:c>
      <x:c r="E309" t="str">
        <x:v>Travel Blog</x:v>
      </x:c>
      <x:c r="F309" t="str">
        <x:v>Khurja</x:v>
      </x:c>
      <x:c r="G309" t="str">
        <x:v>Weaving</x:v>
      </x:c>
      <x:c r="H309" t="n">
        <x:v>6</x:v>
      </x:c>
      <x:c r="I309" t="n">
        <x:v>1500</x:v>
      </x:c>
      <x:c r="J309" t="str">
        <x:v>Completed</x:v>
      </x:c>
      <x:c r="K309" t="n">
        <x:f>H309*I309</x:f>
        <x:v>9000</x:v>
      </x:c>
      <x:c r="L309" s="16" t="n">
        <x:f>IF(J309="Completed",K309*0.80,0)</x:f>
        <x:v>7200</x:v>
      </x:c>
      <x:c r="M309" t="n">
        <x:v>3.9</x:v>
      </x:c>
      <x:c r="N309" t="str">
        <x:v>Yes</x:v>
      </x:c>
      <x:c r="O309" t="str">
        <x:v>Customer Success</x:v>
      </x:c>
    </x:row>
    <x:row r="310">
      <x:c r="A310" t="str">
        <x:v>CRB5308</x:v>
      </x:c>
      <x:c r="B310" t="str">
        <x:v>2026-07-07</x:v>
      </x:c>
      <x:c r="C310" t="str">
        <x:v>Sofia Martinez</x:v>
      </x:c>
      <x:c r="D310" t="str">
        <x:v>u2459</x:v>
      </x:c>
      <x:c r="E310" t="str">
        <x:v>Google Search</x:v>
      </x:c>
      <x:c r="F310" t="str">
        <x:v>Bangalore</x:v>
      </x:c>
      <x:c r="G310" t="str">
        <x:v>Pottery</x:v>
      </x:c>
      <x:c r="H310" t="n">
        <x:v>1</x:v>
      </x:c>
      <x:c r="I310" t="n">
        <x:v>2500</x:v>
      </x:c>
      <x:c r="J310" t="str">
        <x:v>No-show</x:v>
      </x:c>
      <x:c r="K310" t="n">
        <x:f>H310*I310</x:f>
        <x:v>2500</x:v>
      </x:c>
      <x:c r="L310" s="16" t="n">
        <x:f>IF(J310="Completed",K310*0.80,0)</x:f>
        <x:v>0</x:v>
      </x:c>
      <x:c r="M310" t="str"/>
      <x:c r="N310" t="str">
        <x:v>Yes</x:v>
      </x:c>
      <x:c r="O310" t="str">
        <x:v>Traveler Success</x:v>
      </x:c>
    </x:row>
    <x:row r="311">
      <x:c r="A311" t="str">
        <x:v>CRB5309</x:v>
      </x:c>
      <x:c r="B311" t="str">
        <x:v>2026-07-07</x:v>
      </x:c>
      <x:c r="C311" t="str">
        <x:v>Ananya Reddy</x:v>
      </x:c>
      <x:c r="D311" t="str">
        <x:v>u2463</x:v>
      </x:c>
      <x:c r="E311" t="str">
        <x:v>Direct</x:v>
      </x:c>
      <x:c r="F311" t="str">
        <x:v>Jaipur</x:v>
      </x:c>
      <x:c r="G311" t="str">
        <x:v>Warli Painting</x:v>
      </x:c>
      <x:c r="H311" t="n">
        <x:v>10</x:v>
      </x:c>
      <x:c r="I311" t="n">
        <x:v>2200</x:v>
      </x:c>
      <x:c r="J311" t="str">
        <x:v>Completed</x:v>
      </x:c>
      <x:c r="K311" t="n">
        <x:f>H311*I311</x:f>
        <x:v>22000</x:v>
      </x:c>
      <x:c r="L311" s="16" t="n">
        <x:f>IF(J311="Completed",K311*0.80,0)</x:f>
        <x:v>17600</x:v>
      </x:c>
      <x:c r="M311" t="n">
        <x:v>4.1</x:v>
      </x:c>
      <x:c r="N311" t="str">
        <x:v>No</x:v>
      </x:c>
      <x:c r="O311" t="str">
        <x:v>Traveler Success</x:v>
      </x:c>
    </x:row>
    <x:row r="312">
      <x:c r="A312" t="str">
        <x:v>CRB5310</x:v>
      </x:c>
      <x:c r="B312" t="str">
        <x:v>2026-07-07</x:v>
      </x:c>
      <x:c r="C312" t="str">
        <x:v>Priya Sharma</x:v>
      </x:c>
      <x:c r="D312" t="str">
        <x:v>u2483</x:v>
      </x:c>
      <x:c r="E312" t="str">
        <x:v>Travel Blog</x:v>
      </x:c>
      <x:c r="F312" t="str">
        <x:v>Udaipur</x:v>
      </x:c>
      <x:c r="G312" t="str">
        <x:v>Pottery</x:v>
      </x:c>
      <x:c r="H312" t="n">
        <x:v>12</x:v>
      </x:c>
      <x:c r="I312" t="n">
        <x:v>1800</x:v>
      </x:c>
      <x:c r="J312" t="str">
        <x:v>Completed</x:v>
      </x:c>
      <x:c r="K312" t="n">
        <x:f>H312*I312</x:f>
        <x:v>21600</x:v>
      </x:c>
      <x:c r="L312" s="16" t="n">
        <x:f>IF(J312="Completed",K312*0.80,0)</x:f>
        <x:v>17280</x:v>
      </x:c>
      <x:c r="M312" t="n">
        <x:v>4.1</x:v>
      </x:c>
      <x:c r="N312" t="str">
        <x:v>No</x:v>
      </x:c>
      <x:c r="O312" t="str">
        <x:v>Customer Success</x:v>
      </x:c>
    </x:row>
    <x:row r="313">
      <x:c r="A313" t="str">
        <x:v>CRB5311</x:v>
      </x:c>
      <x:c r="B313" t="str">
        <x:v>2026-07-07</x:v>
      </x:c>
      <x:c r="C313" t="str">
        <x:v>Rahul Mehta</x:v>
      </x:c>
      <x:c r="D313" t="str">
        <x:v>u2487</x:v>
      </x:c>
      <x:c r="E313" t="str">
        <x:v>Travel Blog</x:v>
      </x:c>
      <x:c r="F313" t="str">
        <x:v>Varanasi</x:v>
      </x:c>
      <x:c r="G313" t="str">
        <x:v>Weaving</x:v>
      </x:c>
      <x:c r="H313" t="n">
        <x:v>10</x:v>
      </x:c>
      <x:c r="I313" t="n">
        <x:v>1500</x:v>
      </x:c>
      <x:c r="J313" t="str">
        <x:v>Completed</x:v>
      </x:c>
      <x:c r="K313" t="n">
        <x:f>H313*I313</x:f>
        <x:v>15000</x:v>
      </x:c>
      <x:c r="L313" s="16" t="n">
        <x:f>IF(J313="Completed",K313*0.80,0)</x:f>
        <x:v>12000</x:v>
      </x:c>
      <x:c r="M313" t="n">
        <x:v>4.8</x:v>
      </x:c>
      <x:c r="N313" t="str">
        <x:v>No</x:v>
      </x:c>
      <x:c r="O313" t="str">
        <x:v>Revenue / Enterprise Team</x:v>
      </x:c>
    </x:row>
    <x:row r="314">
      <x:c r="A314" t="str">
        <x:v>CRB5312</x:v>
      </x:c>
      <x:c r="B314" t="str">
        <x:v>2026-07-07</x:v>
      </x:c>
      <x:c r="C314" t="str">
        <x:v>Rahul Mehta</x:v>
      </x:c>
      <x:c r="D314" t="str">
        <x:v>u2490</x:v>
      </x:c>
      <x:c r="E314" t="str">
        <x:v>Travel Blog</x:v>
      </x:c>
      <x:c r="F314" t="str">
        <x:v>Udaipur</x:v>
      </x:c>
      <x:c r="G314" t="str">
        <x:v>Warli Painting</x:v>
      </x:c>
      <x:c r="H314" t="n">
        <x:v>6</x:v>
      </x:c>
      <x:c r="I314" t="n">
        <x:v>3000</x:v>
      </x:c>
      <x:c r="J314" t="str">
        <x:v>Completed</x:v>
      </x:c>
      <x:c r="K314" t="n">
        <x:f>H314*I314</x:f>
        <x:v>18000</x:v>
      </x:c>
      <x:c r="L314" s="16" t="n">
        <x:f>IF(J314="Completed",K314*0.80,0)</x:f>
        <x:v>14400</x:v>
      </x:c>
      <x:c r="M314" t="n">
        <x:v>4.5</x:v>
      </x:c>
      <x:c r="N314" t="str">
        <x:v>No</x:v>
      </x:c>
      <x:c r="O314" t="str">
        <x:v>Traveler Success</x:v>
      </x:c>
    </x:row>
    <x:row r="315">
      <x:c r="A315" t="str">
        <x:v>CRB5313</x:v>
      </x:c>
      <x:c r="B315" t="str">
        <x:v>2026-07-07</x:v>
      </x:c>
      <x:c r="C315" t="str">
        <x:v>Priya Sharma</x:v>
      </x:c>
      <x:c r="D315" t="str">
        <x:v>u2496</x:v>
      </x:c>
      <x:c r="E315" t="str">
        <x:v>Travel Blog</x:v>
      </x:c>
      <x:c r="F315" t="str">
        <x:v>Bangalore</x:v>
      </x:c>
      <x:c r="G315" t="str">
        <x:v>Pottery</x:v>
      </x:c>
      <x:c r="H315" t="n">
        <x:v>3</x:v>
      </x:c>
      <x:c r="I315" t="n">
        <x:v>3000</x:v>
      </x:c>
      <x:c r="J315" t="str">
        <x:v>Completed</x:v>
      </x:c>
      <x:c r="K315" t="n">
        <x:f>H315*I315</x:f>
        <x:v>9000</x:v>
      </x:c>
      <x:c r="L315" s="16" t="n">
        <x:f>IF(J315="Completed",K315*0.80,0)</x:f>
        <x:v>7200</x:v>
      </x:c>
      <x:c r="M315" t="n">
        <x:v>4.8</x:v>
      </x:c>
      <x:c r="N315" t="str">
        <x:v>No</x:v>
      </x:c>
      <x:c r="O315" t="str">
        <x:v>Customer Success</x:v>
      </x:c>
    </x:row>
    <x:row r="316">
      <x:c r="A316" t="str">
        <x:v>CRB5314</x:v>
      </x:c>
      <x:c r="B316" t="str">
        <x:v>2026-07-07</x:v>
      </x:c>
      <x:c r="C316" t="str">
        <x:v>Sofia Martinez</x:v>
      </x:c>
      <x:c r="D316" t="str">
        <x:v>u2503</x:v>
      </x:c>
      <x:c r="E316" t="str">
        <x:v>Instagram</x:v>
      </x:c>
      <x:c r="F316" t="str">
        <x:v>Udaipur</x:v>
      </x:c>
      <x:c r="G316" t="str">
        <x:v>Warli Painting</x:v>
      </x:c>
      <x:c r="H316" t="n">
        <x:v>1</x:v>
      </x:c>
      <x:c r="I316" t="n">
        <x:v>3000</x:v>
      </x:c>
      <x:c r="J316" t="str">
        <x:v>Completed</x:v>
      </x:c>
      <x:c r="K316" t="n">
        <x:f>H316*I316</x:f>
        <x:v>3000</x:v>
      </x:c>
      <x:c r="L316" s="16" t="n">
        <x:f>IF(J316="Completed",K316*0.80,0)</x:f>
        <x:v>2400</x:v>
      </x:c>
      <x:c r="M316" t="n">
        <x:v>4.1</x:v>
      </x:c>
      <x:c r="N316" t="str">
        <x:v>No</x:v>
      </x:c>
      <x:c r="O316" t="str">
        <x:v>Traveler Success</x:v>
      </x:c>
    </x:row>
    <x:row r="317">
      <x:c r="A317" t="str">
        <x:v>CRB5315</x:v>
      </x:c>
      <x:c r="B317" t="str">
        <x:v>2026-07-07</x:v>
      </x:c>
      <x:c r="C317" t="str">
        <x:v>Sofia Martinez</x:v>
      </x:c>
      <x:c r="D317" t="str">
        <x:v>u2510</x:v>
      </x:c>
      <x:c r="E317" t="str">
        <x:v>Travel Blog</x:v>
      </x:c>
      <x:c r="F317" t="str">
        <x:v>Khurja</x:v>
      </x:c>
      <x:c r="G317" t="str">
        <x:v>Warli Painting</x:v>
      </x:c>
      <x:c r="H317" t="n">
        <x:v>1</x:v>
      </x:c>
      <x:c r="I317" t="n">
        <x:v>3500</x:v>
      </x:c>
      <x:c r="J317" t="str">
        <x:v>Cancelled</x:v>
      </x:c>
      <x:c r="K317" t="n">
        <x:f>H317*I317</x:f>
        <x:v>3500</x:v>
      </x:c>
      <x:c r="L317" s="16" t="n">
        <x:f>IF(J317="Completed",K317*0.80,0)</x:f>
        <x:v>0</x:v>
      </x:c>
      <x:c r="M317" t="str"/>
      <x:c r="N317" t="str">
        <x:v>No</x:v>
      </x:c>
      <x:c r="O317" t="str">
        <x:v>Revenue / Enterprise Team</x:v>
      </x:c>
    </x:row>
    <x:row r="318">
      <x:c r="A318" t="str">
        <x:v>CRB5316</x:v>
      </x:c>
      <x:c r="B318" t="str">
        <x:v>2026-07-07</x:v>
      </x:c>
      <x:c r="C318" t="str">
        <x:v>Ananya Reddy</x:v>
      </x:c>
      <x:c r="D318" t="str">
        <x:v>u2512</x:v>
      </x:c>
      <x:c r="E318" t="str">
        <x:v>Travel Blog</x:v>
      </x:c>
      <x:c r="F318" t="str">
        <x:v>Khurja</x:v>
      </x:c>
      <x:c r="G318" t="str">
        <x:v>Block Printing</x:v>
      </x:c>
      <x:c r="H318" t="n">
        <x:v>10</x:v>
      </x:c>
      <x:c r="I318" t="n">
        <x:v>3500</x:v>
      </x:c>
      <x:c r="J318" t="str">
        <x:v>Completed</x:v>
      </x:c>
      <x:c r="K318" t="n">
        <x:f>H318*I318</x:f>
        <x:v>35000</x:v>
      </x:c>
      <x:c r="L318" s="16" t="n">
        <x:f>IF(J318="Completed",K318*0.80,0)</x:f>
        <x:v>28000</x:v>
      </x:c>
      <x:c r="M318" t="n">
        <x:v>4.8</x:v>
      </x:c>
      <x:c r="N318" t="str">
        <x:v>No</x:v>
      </x:c>
      <x:c r="O318" t="str">
        <x:v>Traveler Success</x:v>
      </x:c>
    </x:row>
    <x:row r="319">
      <x:c r="A319" t="str">
        <x:v>CRB5317</x:v>
      </x:c>
      <x:c r="B319" t="str">
        <x:v>2026-07-07</x:v>
      </x:c>
      <x:c r="C319" t="str">
        <x:v>Sofia Martinez</x:v>
      </x:c>
      <x:c r="D319" t="str">
        <x:v>u2522</x:v>
      </x:c>
      <x:c r="E319" t="str">
        <x:v>Google Search</x:v>
      </x:c>
      <x:c r="F319" t="str">
        <x:v>Udaipur</x:v>
      </x:c>
      <x:c r="G319" t="str">
        <x:v>Block Printing</x:v>
      </x:c>
      <x:c r="H319" t="n">
        <x:v>2</x:v>
      </x:c>
      <x:c r="I319" t="n">
        <x:v>1800</x:v>
      </x:c>
      <x:c r="J319" t="str">
        <x:v>Completed</x:v>
      </x:c>
      <x:c r="K319" t="n">
        <x:f>H319*I319</x:f>
        <x:v>3600</x:v>
      </x:c>
      <x:c r="L319" s="16" t="n">
        <x:f>IF(J319="Completed",K319*0.80,0)</x:f>
        <x:v>2880</x:v>
      </x:c>
      <x:c r="M319" t="n">
        <x:v>4.2</x:v>
      </x:c>
      <x:c r="N319" t="str">
        <x:v>No</x:v>
      </x:c>
      <x:c r="O319" t="str">
        <x:v>Traveler Success</x:v>
      </x:c>
    </x:row>
    <x:row r="320">
      <x:c r="A320" t="str">
        <x:v>CRB5318</x:v>
      </x:c>
      <x:c r="B320" t="str">
        <x:v>2026-07-07</x:v>
      </x:c>
      <x:c r="C320" t="str">
        <x:v>Rahul Mehta</x:v>
      </x:c>
      <x:c r="D320" t="str">
        <x:v>u2528</x:v>
      </x:c>
      <x:c r="E320" t="str">
        <x:v>Google Search</x:v>
      </x:c>
      <x:c r="F320" t="str">
        <x:v>Jaipur</x:v>
      </x:c>
      <x:c r="G320" t="str">
        <x:v>Weaving</x:v>
      </x:c>
      <x:c r="H320" t="n">
        <x:v>2</x:v>
      </x:c>
      <x:c r="I320" t="n">
        <x:v>2000</x:v>
      </x:c>
      <x:c r="J320" t="str">
        <x:v>Completed</x:v>
      </x:c>
      <x:c r="K320" t="n">
        <x:f>H320*I320</x:f>
        <x:v>4000</x:v>
      </x:c>
      <x:c r="L320" s="16" t="n">
        <x:f>IF(J320="Completed",K320*0.80,0)</x:f>
        <x:v>3200</x:v>
      </x:c>
      <x:c r="M320" t="n">
        <x:v>3.9</x:v>
      </x:c>
      <x:c r="N320" t="str">
        <x:v>No</x:v>
      </x:c>
      <x:c r="O320" t="str">
        <x:v>Customer Success</x:v>
      </x:c>
    </x:row>
    <x:row r="321">
      <x:c r="A321" t="str">
        <x:v>CRB5319</x:v>
      </x:c>
      <x:c r="B321" t="str">
        <x:v>2026-07-07</x:v>
      </x:c>
      <x:c r="C321" t="str">
        <x:v>Rahul Mehta</x:v>
      </x:c>
      <x:c r="D321" t="str">
        <x:v>u2534</x:v>
      </x:c>
      <x:c r="E321" t="str">
        <x:v>Direct</x:v>
      </x:c>
      <x:c r="F321" t="str">
        <x:v>Jaipur</x:v>
      </x:c>
      <x:c r="G321" t="str">
        <x:v>Warli Painting</x:v>
      </x:c>
      <x:c r="H321" t="n">
        <x:v>2</x:v>
      </x:c>
      <x:c r="I321" t="n">
        <x:v>2200</x:v>
      </x:c>
      <x:c r="J321" t="str">
        <x:v>Completed</x:v>
      </x:c>
      <x:c r="K321" t="n">
        <x:f>H321*I321</x:f>
        <x:v>4400</x:v>
      </x:c>
      <x:c r="L321" s="16" t="n">
        <x:f>IF(J321="Completed",K321*0.80,0)</x:f>
        <x:v>3520</x:v>
      </x:c>
      <x:c r="M321" t="n">
        <x:v>4.4</x:v>
      </x:c>
      <x:c r="N321" t="str">
        <x:v>No</x:v>
      </x:c>
      <x:c r="O321" t="str">
        <x:v>Customer Success</x:v>
      </x:c>
    </x:row>
    <x:row r="322">
      <x:c r="A322" t="str">
        <x:v>CRB5320</x:v>
      </x:c>
      <x:c r="B322" t="str">
        <x:v>2026-07-07</x:v>
      </x:c>
      <x:c r="C322" t="str">
        <x:v>Mark Thompson</x:v>
      </x:c>
      <x:c r="D322" t="str">
        <x:v>u2536</x:v>
      </x:c>
      <x:c r="E322" t="str">
        <x:v>Travel Blog</x:v>
      </x:c>
      <x:c r="F322" t="str">
        <x:v>Khurja</x:v>
      </x:c>
      <x:c r="G322" t="str">
        <x:v>Weaving</x:v>
      </x:c>
      <x:c r="H322" t="n">
        <x:v>2</x:v>
      </x:c>
      <x:c r="I322" t="n">
        <x:v>3500</x:v>
      </x:c>
      <x:c r="J322" t="str">
        <x:v>Completed</x:v>
      </x:c>
      <x:c r="K322" t="n">
        <x:f>H322*I322</x:f>
        <x:v>7000</x:v>
      </x:c>
      <x:c r="L322" s="16" t="n">
        <x:f>IF(J322="Completed",K322*0.80,0)</x:f>
        <x:v>5600</x:v>
      </x:c>
      <x:c r="M322" t="n">
        <x:v>4.6</x:v>
      </x:c>
      <x:c r="N322" t="str">
        <x:v>No</x:v>
      </x:c>
      <x:c r="O322" t="str">
        <x:v>Customer Success</x:v>
      </x:c>
    </x:row>
    <x:row r="323">
      <x:c r="A323" t="str">
        <x:v>CRB5321</x:v>
      </x:c>
      <x:c r="B323" t="str">
        <x:v>2026-07-07</x:v>
      </x:c>
      <x:c r="C323" t="str">
        <x:v>Mark Thompson</x:v>
      </x:c>
      <x:c r="D323" t="str">
        <x:v>u2540</x:v>
      </x:c>
      <x:c r="E323" t="str">
        <x:v>Travel Blog</x:v>
      </x:c>
      <x:c r="F323" t="str">
        <x:v>Varanasi</x:v>
      </x:c>
      <x:c r="G323" t="str">
        <x:v>Weaving</x:v>
      </x:c>
      <x:c r="H323" t="n">
        <x:v>1</x:v>
      </x:c>
      <x:c r="I323" t="n">
        <x:v>2000</x:v>
      </x:c>
      <x:c r="J323" t="str">
        <x:v>Completed</x:v>
      </x:c>
      <x:c r="K323" t="n">
        <x:f>H323*I323</x:f>
        <x:v>2000</x:v>
      </x:c>
      <x:c r="L323" s="16" t="n">
        <x:f>IF(J323="Completed",K323*0.80,0)</x:f>
        <x:v>1600</x:v>
      </x:c>
      <x:c r="M323" t="n">
        <x:v>4</x:v>
      </x:c>
      <x:c r="N323" t="str">
        <x:v>No</x:v>
      </x:c>
      <x:c r="O323" t="str">
        <x:v>Traveler Success</x:v>
      </x:c>
    </x:row>
    <x:row r="324">
      <x:c r="A324" t="str">
        <x:v>CRB5322</x:v>
      </x:c>
      <x:c r="B324" t="str">
        <x:v>2026-07-07</x:v>
      </x:c>
      <x:c r="C324" t="str">
        <x:v>Mark Thompson</x:v>
      </x:c>
      <x:c r="D324" t="str">
        <x:v>u2543</x:v>
      </x:c>
      <x:c r="E324" t="str">
        <x:v>Travel Blog</x:v>
      </x:c>
      <x:c r="F324" t="str">
        <x:v>Jaipur</x:v>
      </x:c>
      <x:c r="G324" t="str">
        <x:v>Warli Painting</x:v>
      </x:c>
      <x:c r="H324" t="n">
        <x:v>2</x:v>
      </x:c>
      <x:c r="I324" t="n">
        <x:v>2200</x:v>
      </x:c>
      <x:c r="J324" t="str">
        <x:v>Completed</x:v>
      </x:c>
      <x:c r="K324" t="n">
        <x:f>H324*I324</x:f>
        <x:v>4400</x:v>
      </x:c>
      <x:c r="L324" s="16" t="n">
        <x:f>IF(J324="Completed",K324*0.80,0)</x:f>
        <x:v>3520</x:v>
      </x:c>
      <x:c r="M324" t="n">
        <x:v>4.7</x:v>
      </x:c>
      <x:c r="N324" t="str">
        <x:v>No</x:v>
      </x:c>
      <x:c r="O324" t="str">
        <x:v>Customer Success</x:v>
      </x:c>
    </x:row>
    <x:row r="325">
      <x:c r="A325" t="str">
        <x:v>CRB5323</x:v>
      </x:c>
      <x:c r="B325" t="str">
        <x:v>2026-07-07</x:v>
      </x:c>
      <x:c r="C325" t="str">
        <x:v>Priya Sharma</x:v>
      </x:c>
      <x:c r="D325" t="str">
        <x:v>u2556</x:v>
      </x:c>
      <x:c r="E325" t="str">
        <x:v>Instagram</x:v>
      </x:c>
      <x:c r="F325" t="str">
        <x:v>Varanasi</x:v>
      </x:c>
      <x:c r="G325" t="str">
        <x:v>Warli Painting</x:v>
      </x:c>
      <x:c r="H325" t="n">
        <x:v>3</x:v>
      </x:c>
      <x:c r="I325" t="n">
        <x:v>3000</x:v>
      </x:c>
      <x:c r="J325" t="str">
        <x:v>Completed</x:v>
      </x:c>
      <x:c r="K325" t="n">
        <x:f>H325*I325</x:f>
        <x:v>9000</x:v>
      </x:c>
      <x:c r="L325" s="16" t="n">
        <x:f>IF(J325="Completed",K325*0.80,0)</x:f>
        <x:v>7200</x:v>
      </x:c>
      <x:c r="M325" t="n">
        <x:v>3.9</x:v>
      </x:c>
      <x:c r="N325" t="str">
        <x:v>No</x:v>
      </x:c>
      <x:c r="O325" t="str">
        <x:v>Customer Success</x:v>
      </x:c>
    </x:row>
    <x:row r="326">
      <x:c r="A326" t="str">
        <x:v>CRB5324</x:v>
      </x:c>
      <x:c r="B326" t="str">
        <x:v>2026-07-07</x:v>
      </x:c>
      <x:c r="C326" t="str">
        <x:v>Sofia Martinez</x:v>
      </x:c>
      <x:c r="D326" t="str">
        <x:v>u2557</x:v>
      </x:c>
      <x:c r="E326" t="str">
        <x:v>Travel Blog</x:v>
      </x:c>
      <x:c r="F326" t="str">
        <x:v>Khurja</x:v>
      </x:c>
      <x:c r="G326" t="str">
        <x:v>Blue Pottery</x:v>
      </x:c>
      <x:c r="H326" t="n">
        <x:v>6</x:v>
      </x:c>
      <x:c r="I326" t="n">
        <x:v>3500</x:v>
      </x:c>
      <x:c r="J326" t="str">
        <x:v>Cancelled</x:v>
      </x:c>
      <x:c r="K326" t="n">
        <x:f>H326*I326</x:f>
        <x:v>21000</x:v>
      </x:c>
      <x:c r="L326" s="16" t="n">
        <x:f>IF(J326="Completed",K326*0.80,0)</x:f>
        <x:v>0</x:v>
      </x:c>
      <x:c r="M326" t="str"/>
      <x:c r="N326" t="str">
        <x:v>No</x:v>
      </x:c>
      <x:c r="O326" t="str">
        <x:v>Revenue / Enterprise Team</x:v>
      </x:c>
    </x:row>
    <x:row r="327">
      <x:c r="A327" t="str">
        <x:v>CRB5325</x:v>
      </x:c>
      <x:c r="B327" t="str">
        <x:v>2026-07-07</x:v>
      </x:c>
      <x:c r="C327" t="str">
        <x:v>Sofia Martinez</x:v>
      </x:c>
      <x:c r="D327" t="str">
        <x:v>u2561</x:v>
      </x:c>
      <x:c r="E327" t="str">
        <x:v>Direct</x:v>
      </x:c>
      <x:c r="F327" t="str">
        <x:v>Jaipur</x:v>
      </x:c>
      <x:c r="G327" t="str">
        <x:v>Pottery</x:v>
      </x:c>
      <x:c r="H327" t="n">
        <x:v>1</x:v>
      </x:c>
      <x:c r="I327" t="n">
        <x:v>2200</x:v>
      </x:c>
      <x:c r="J327" t="str">
        <x:v>Completed</x:v>
      </x:c>
      <x:c r="K327" t="n">
        <x:f>H327*I327</x:f>
        <x:v>2200</x:v>
      </x:c>
      <x:c r="L327" s="16" t="n">
        <x:f>IF(J327="Completed",K327*0.80,0)</x:f>
        <x:v>1760</x:v>
      </x:c>
      <x:c r="M327" t="n">
        <x:v>4.6</x:v>
      </x:c>
      <x:c r="N327" t="str">
        <x:v>No</x:v>
      </x:c>
      <x:c r="O327" t="str">
        <x:v>Customer Success</x:v>
      </x:c>
    </x:row>
    <x:row r="328">
      <x:c r="A328" t="str">
        <x:v>CRB5326</x:v>
      </x:c>
      <x:c r="B328" t="str">
        <x:v>2026-07-07</x:v>
      </x:c>
      <x:c r="C328" t="str">
        <x:v>Priya Sharma</x:v>
      </x:c>
      <x:c r="D328" t="str">
        <x:v>u2562</x:v>
      </x:c>
      <x:c r="E328" t="str">
        <x:v>Instagram</x:v>
      </x:c>
      <x:c r="F328" t="str">
        <x:v>Bangalore</x:v>
      </x:c>
      <x:c r="G328" t="str">
        <x:v>Block Printing</x:v>
      </x:c>
      <x:c r="H328" t="n">
        <x:v>10</x:v>
      </x:c>
      <x:c r="I328" t="n">
        <x:v>2500</x:v>
      </x:c>
      <x:c r="J328" t="str">
        <x:v>Completed</x:v>
      </x:c>
      <x:c r="K328" t="n">
        <x:f>H328*I328</x:f>
        <x:v>25000</x:v>
      </x:c>
      <x:c r="L328" s="16" t="n">
        <x:f>IF(J328="Completed",K328*0.80,0)</x:f>
        <x:v>20000</x:v>
      </x:c>
      <x:c r="M328" t="n">
        <x:v>4.2</x:v>
      </x:c>
      <x:c r="N328" t="str">
        <x:v>No</x:v>
      </x:c>
      <x:c r="O328" t="str">
        <x:v>Revenue / Enterprise Team</x:v>
      </x:c>
    </x:row>
    <x:row r="329">
      <x:c r="A329" t="str">
        <x:v>CRB5327</x:v>
      </x:c>
      <x:c r="B329" t="str">
        <x:v>2026-07-07</x:v>
      </x:c>
      <x:c r="C329" t="str">
        <x:v>Priya Sharma</x:v>
      </x:c>
      <x:c r="D329" t="str">
        <x:v>u2563</x:v>
      </x:c>
      <x:c r="E329" t="str">
        <x:v>Travel Blog</x:v>
      </x:c>
      <x:c r="F329" t="str">
        <x:v>Khurja</x:v>
      </x:c>
      <x:c r="G329" t="str">
        <x:v>Weaving</x:v>
      </x:c>
      <x:c r="H329" t="n">
        <x:v>12</x:v>
      </x:c>
      <x:c r="I329" t="n">
        <x:v>2500</x:v>
      </x:c>
      <x:c r="J329" t="str">
        <x:v>Completed</x:v>
      </x:c>
      <x:c r="K329" t="n">
        <x:f>H329*I329</x:f>
        <x:v>30000</x:v>
      </x:c>
      <x:c r="L329" s="16" t="n">
        <x:f>IF(J329="Completed",K329*0.80,0)</x:f>
        <x:v>24000</x:v>
      </x:c>
      <x:c r="M329" t="n">
        <x:v>4.6</x:v>
      </x:c>
      <x:c r="N329" t="str">
        <x:v>No</x:v>
      </x:c>
      <x:c r="O329" t="str">
        <x:v>Traveler Success</x:v>
      </x:c>
    </x:row>
    <x:row r="330">
      <x:c r="A330" t="str">
        <x:v>CRB5328</x:v>
      </x:c>
      <x:c r="B330" t="str">
        <x:v>2026-07-07</x:v>
      </x:c>
      <x:c r="C330" t="str">
        <x:v>Ananya Reddy</x:v>
      </x:c>
      <x:c r="D330" t="str">
        <x:v>u2564</x:v>
      </x:c>
      <x:c r="E330" t="str">
        <x:v>Instagram</x:v>
      </x:c>
      <x:c r="F330" t="str">
        <x:v>Jaipur</x:v>
      </x:c>
      <x:c r="G330" t="str">
        <x:v>Warli Painting</x:v>
      </x:c>
      <x:c r="H330" t="n">
        <x:v>3</x:v>
      </x:c>
      <x:c r="I330" t="n">
        <x:v>2500</x:v>
      </x:c>
      <x:c r="J330" t="str">
        <x:v>Completed</x:v>
      </x:c>
      <x:c r="K330" t="n">
        <x:f>H330*I330</x:f>
        <x:v>7500</x:v>
      </x:c>
      <x:c r="L330" s="16" t="n">
        <x:f>IF(J330="Completed",K330*0.80,0)</x:f>
        <x:v>6000</x:v>
      </x:c>
      <x:c r="M330" t="n">
        <x:v>4.3</x:v>
      </x:c>
      <x:c r="N330" t="str">
        <x:v>No</x:v>
      </x:c>
      <x:c r="O330" t="str">
        <x:v>Customer Success</x:v>
      </x:c>
    </x:row>
    <x:row r="331">
      <x:c r="A331" t="str">
        <x:v>CRB5329</x:v>
      </x:c>
      <x:c r="B331" t="str">
        <x:v>2026-07-07</x:v>
      </x:c>
      <x:c r="C331" t="str">
        <x:v>Mark Thompson</x:v>
      </x:c>
      <x:c r="D331" t="str">
        <x:v>u2573</x:v>
      </x:c>
      <x:c r="E331" t="str">
        <x:v>Direct</x:v>
      </x:c>
      <x:c r="F331" t="str">
        <x:v>Varanasi</x:v>
      </x:c>
      <x:c r="G331" t="str">
        <x:v>Pottery</x:v>
      </x:c>
      <x:c r="H331" t="n">
        <x:v>2</x:v>
      </x:c>
      <x:c r="I331" t="n">
        <x:v>1500</x:v>
      </x:c>
      <x:c r="J331" t="str">
        <x:v>Completed</x:v>
      </x:c>
      <x:c r="K331" t="n">
        <x:f>H331*I331</x:f>
        <x:v>3000</x:v>
      </x:c>
      <x:c r="L331" s="16" t="n">
        <x:f>IF(J331="Completed",K331*0.80,0)</x:f>
        <x:v>2400</x:v>
      </x:c>
      <x:c r="M331" t="n">
        <x:v>4.3</x:v>
      </x:c>
      <x:c r="N331" t="str">
        <x:v>No</x:v>
      </x:c>
      <x:c r="O331" t="str">
        <x:v>Revenue / Enterprise Team</x:v>
      </x:c>
    </x:row>
    <x:row r="332">
      <x:c r="A332" t="str">
        <x:v>CRB5330</x:v>
      </x:c>
      <x:c r="B332" t="str">
        <x:v>2026-07-08</x:v>
      </x:c>
      <x:c r="C332" t="str">
        <x:v>Sofia Martinez</x:v>
      </x:c>
      <x:c r="D332" t="str">
        <x:v>u2586</x:v>
      </x:c>
      <x:c r="E332" t="str">
        <x:v>Direct</x:v>
      </x:c>
      <x:c r="F332" t="str">
        <x:v>Khurja</x:v>
      </x:c>
      <x:c r="G332" t="str">
        <x:v>Weaving</x:v>
      </x:c>
      <x:c r="H332" t="n">
        <x:v>12</x:v>
      </x:c>
      <x:c r="I332" t="n">
        <x:v>1500</x:v>
      </x:c>
      <x:c r="J332" t="str">
        <x:v>Completed</x:v>
      </x:c>
      <x:c r="K332" t="n">
        <x:f>H332*I332</x:f>
        <x:v>18000</x:v>
      </x:c>
      <x:c r="L332" s="16" t="n">
        <x:f>IF(J332="Completed",K332*0.80,0)</x:f>
        <x:v>14400</x:v>
      </x:c>
      <x:c r="M332" t="n">
        <x:v>3.9</x:v>
      </x:c>
      <x:c r="N332" t="str">
        <x:v>No</x:v>
      </x:c>
      <x:c r="O332" t="str">
        <x:v>Traveler Success</x:v>
      </x:c>
    </x:row>
    <x:row r="333">
      <x:c r="A333" t="str">
        <x:v>CRB5331</x:v>
      </x:c>
      <x:c r="B333" t="str">
        <x:v>2026-07-08</x:v>
      </x:c>
      <x:c r="C333" t="str">
        <x:v>Sofia Martinez</x:v>
      </x:c>
      <x:c r="D333" t="str">
        <x:v>u2589</x:v>
      </x:c>
      <x:c r="E333" t="str">
        <x:v>Google Search</x:v>
      </x:c>
      <x:c r="F333" t="str">
        <x:v>Khurja</x:v>
      </x:c>
      <x:c r="G333" t="str">
        <x:v>Blue Pottery</x:v>
      </x:c>
      <x:c r="H333" t="n">
        <x:v>12</x:v>
      </x:c>
      <x:c r="I333" t="n">
        <x:v>2000</x:v>
      </x:c>
      <x:c r="J333" t="str">
        <x:v>Completed</x:v>
      </x:c>
      <x:c r="K333" t="n">
        <x:f>H333*I333</x:f>
        <x:v>24000</x:v>
      </x:c>
      <x:c r="L333" s="16" t="n">
        <x:f>IF(J333="Completed",K333*0.80,0)</x:f>
        <x:v>19200</x:v>
      </x:c>
      <x:c r="M333" t="n">
        <x:v>4.3</x:v>
      </x:c>
      <x:c r="N333" t="str">
        <x:v>Yes</x:v>
      </x:c>
      <x:c r="O333" t="str">
        <x:v>Customer Success</x:v>
      </x:c>
    </x:row>
    <x:row r="334">
      <x:c r="A334" t="str">
        <x:v>CRB5332</x:v>
      </x:c>
      <x:c r="B334" t="str">
        <x:v>2026-07-08</x:v>
      </x:c>
      <x:c r="C334" t="str">
        <x:v>Sofia Martinez</x:v>
      </x:c>
      <x:c r="D334" t="str">
        <x:v>u2591</x:v>
      </x:c>
      <x:c r="E334" t="str">
        <x:v>Referral</x:v>
      </x:c>
      <x:c r="F334" t="str">
        <x:v>Bangalore</x:v>
      </x:c>
      <x:c r="G334" t="str">
        <x:v>Pottery</x:v>
      </x:c>
      <x:c r="H334" t="n">
        <x:v>3</x:v>
      </x:c>
      <x:c r="I334" t="n">
        <x:v>2000</x:v>
      </x:c>
      <x:c r="J334" t="str">
        <x:v>Completed</x:v>
      </x:c>
      <x:c r="K334" t="n">
        <x:f>H334*I334</x:f>
        <x:v>6000</x:v>
      </x:c>
      <x:c r="L334" s="16" t="n">
        <x:f>IF(J334="Completed",K334*0.80,0)</x:f>
        <x:v>4800</x:v>
      </x:c>
      <x:c r="M334" t="n">
        <x:v>4.9</x:v>
      </x:c>
      <x:c r="N334" t="str">
        <x:v>No</x:v>
      </x:c>
      <x:c r="O334" t="str">
        <x:v>Customer Success</x:v>
      </x:c>
    </x:row>
    <x:row r="335">
      <x:c r="A335" t="str">
        <x:v>CRB5333</x:v>
      </x:c>
      <x:c r="B335" t="str">
        <x:v>2026-07-08</x:v>
      </x:c>
      <x:c r="C335" t="str">
        <x:v>Rahul Mehta</x:v>
      </x:c>
      <x:c r="D335" t="str">
        <x:v>u2605</x:v>
      </x:c>
      <x:c r="E335" t="str">
        <x:v>Travel Blog</x:v>
      </x:c>
      <x:c r="F335" t="str">
        <x:v>Bangalore</x:v>
      </x:c>
      <x:c r="G335" t="str">
        <x:v>Pottery</x:v>
      </x:c>
      <x:c r="H335" t="n">
        <x:v>2</x:v>
      </x:c>
      <x:c r="I335" t="n">
        <x:v>2500</x:v>
      </x:c>
      <x:c r="J335" t="str">
        <x:v>Completed</x:v>
      </x:c>
      <x:c r="K335" t="n">
        <x:f>H335*I335</x:f>
        <x:v>5000</x:v>
      </x:c>
      <x:c r="L335" s="16" t="n">
        <x:f>IF(J335="Completed",K335*0.80,0)</x:f>
        <x:v>4000</x:v>
      </x:c>
      <x:c r="M335" t="n">
        <x:v>4.4</x:v>
      </x:c>
      <x:c r="N335" t="str">
        <x:v>No</x:v>
      </x:c>
      <x:c r="O335" t="str">
        <x:v>Customer Success</x:v>
      </x:c>
    </x:row>
    <x:row r="336">
      <x:c r="A336" t="str">
        <x:v>CRB5334</x:v>
      </x:c>
      <x:c r="B336" t="str">
        <x:v>2026-07-08</x:v>
      </x:c>
      <x:c r="C336" t="str">
        <x:v>Sofia Martinez</x:v>
      </x:c>
      <x:c r="D336" t="str">
        <x:v>u2608</x:v>
      </x:c>
      <x:c r="E336" t="str">
        <x:v>Direct</x:v>
      </x:c>
      <x:c r="F336" t="str">
        <x:v>Jaipur</x:v>
      </x:c>
      <x:c r="G336" t="str">
        <x:v>Blue Pottery</x:v>
      </x:c>
      <x:c r="H336" t="n">
        <x:v>3</x:v>
      </x:c>
      <x:c r="I336" t="n">
        <x:v>1800</x:v>
      </x:c>
      <x:c r="J336" t="str">
        <x:v>Completed</x:v>
      </x:c>
      <x:c r="K336" t="n">
        <x:f>H336*I336</x:f>
        <x:v>5400</x:v>
      </x:c>
      <x:c r="L336" s="16" t="n">
        <x:f>IF(J336="Completed",K336*0.80,0)</x:f>
        <x:v>4320</x:v>
      </x:c>
      <x:c r="M336" t="n">
        <x:v>4</x:v>
      </x:c>
      <x:c r="N336" t="str">
        <x:v>No</x:v>
      </x:c>
      <x:c r="O336" t="str">
        <x:v>Customer Success</x:v>
      </x:c>
    </x:row>
    <x:row r="337">
      <x:c r="A337" t="str">
        <x:v>CRB5335</x:v>
      </x:c>
      <x:c r="B337" t="str">
        <x:v>2026-07-08</x:v>
      </x:c>
      <x:c r="C337" t="str">
        <x:v>Sofia Martinez</x:v>
      </x:c>
      <x:c r="D337" t="str">
        <x:v>u2609</x:v>
      </x:c>
      <x:c r="E337" t="str">
        <x:v>Instagram</x:v>
      </x:c>
      <x:c r="F337" t="str">
        <x:v>Bangalore</x:v>
      </x:c>
      <x:c r="G337" t="str">
        <x:v>Blue Pottery</x:v>
      </x:c>
      <x:c r="H337" t="n">
        <x:v>2</x:v>
      </x:c>
      <x:c r="I337" t="n">
        <x:v>2200</x:v>
      </x:c>
      <x:c r="J337" t="str">
        <x:v>Completed</x:v>
      </x:c>
      <x:c r="K337" t="n">
        <x:f>H337*I337</x:f>
        <x:v>4400</x:v>
      </x:c>
      <x:c r="L337" s="16" t="n">
        <x:f>IF(J337="Completed",K337*0.80,0)</x:f>
        <x:v>3520</x:v>
      </x:c>
      <x:c r="M337" t="n">
        <x:v>3.8</x:v>
      </x:c>
      <x:c r="N337" t="str">
        <x:v>Yes</x:v>
      </x:c>
      <x:c r="O337" t="str">
        <x:v>Revenue / Enterprise Team</x:v>
      </x:c>
    </x:row>
    <x:row r="338">
      <x:c r="A338" t="str">
        <x:v>CRB5336</x:v>
      </x:c>
      <x:c r="B338" t="str">
        <x:v>2026-07-08</x:v>
      </x:c>
      <x:c r="C338" t="str">
        <x:v>Rahul Mehta</x:v>
      </x:c>
      <x:c r="D338" t="str">
        <x:v>u2617</x:v>
      </x:c>
      <x:c r="E338" t="str">
        <x:v>Travel Blog</x:v>
      </x:c>
      <x:c r="F338" t="str">
        <x:v>Udaipur</x:v>
      </x:c>
      <x:c r="G338" t="str">
        <x:v>Blue Pottery</x:v>
      </x:c>
      <x:c r="H338" t="n">
        <x:v>4</x:v>
      </x:c>
      <x:c r="I338" t="n">
        <x:v>1800</x:v>
      </x:c>
      <x:c r="J338" t="str">
        <x:v>Completed</x:v>
      </x:c>
      <x:c r="K338" t="n">
        <x:f>H338*I338</x:f>
        <x:v>7200</x:v>
      </x:c>
      <x:c r="L338" s="16" t="n">
        <x:f>IF(J338="Completed",K338*0.80,0)</x:f>
        <x:v>5760</x:v>
      </x:c>
      <x:c r="M338" t="n">
        <x:v>4.5</x:v>
      </x:c>
      <x:c r="N338" t="str">
        <x:v>No</x:v>
      </x:c>
      <x:c r="O338" t="str">
        <x:v>Traveler Success</x:v>
      </x:c>
    </x:row>
    <x:row r="339">
      <x:c r="A339" t="str">
        <x:v>CRB5337</x:v>
      </x:c>
      <x:c r="B339" t="str">
        <x:v>2026-07-08</x:v>
      </x:c>
      <x:c r="C339" t="str">
        <x:v>Mark Thompson</x:v>
      </x:c>
      <x:c r="D339" t="str">
        <x:v>u2628</x:v>
      </x:c>
      <x:c r="E339" t="str">
        <x:v>Referral</x:v>
      </x:c>
      <x:c r="F339" t="str">
        <x:v>Udaipur</x:v>
      </x:c>
      <x:c r="G339" t="str">
        <x:v>Warli Painting</x:v>
      </x:c>
      <x:c r="H339" t="n">
        <x:v>12</x:v>
      </x:c>
      <x:c r="I339" t="n">
        <x:v>1800</x:v>
      </x:c>
      <x:c r="J339" t="str">
        <x:v>Completed</x:v>
      </x:c>
      <x:c r="K339" t="n">
        <x:f>H339*I339</x:f>
        <x:v>21600</x:v>
      </x:c>
      <x:c r="L339" s="16" t="n">
        <x:f>IF(J339="Completed",K339*0.80,0)</x:f>
        <x:v>17280</x:v>
      </x:c>
      <x:c r="M339" t="n">
        <x:v>4.4</x:v>
      </x:c>
      <x:c r="N339" t="str">
        <x:v>No</x:v>
      </x:c>
      <x:c r="O339" t="str">
        <x:v>Revenue / Enterprise Team</x:v>
      </x:c>
    </x:row>
    <x:row r="340">
      <x:c r="A340" t="str">
        <x:v>CRB5338</x:v>
      </x:c>
      <x:c r="B340" t="str">
        <x:v>2026-07-08</x:v>
      </x:c>
      <x:c r="C340" t="str">
        <x:v>Priya Sharma</x:v>
      </x:c>
      <x:c r="D340" t="str">
        <x:v>u2635</x:v>
      </x:c>
      <x:c r="E340" t="str">
        <x:v>Direct</x:v>
      </x:c>
      <x:c r="F340" t="str">
        <x:v>Bangalore</x:v>
      </x:c>
      <x:c r="G340" t="str">
        <x:v>Weaving</x:v>
      </x:c>
      <x:c r="H340" t="n">
        <x:v>2</x:v>
      </x:c>
      <x:c r="I340" t="n">
        <x:v>2500</x:v>
      </x:c>
      <x:c r="J340" t="str">
        <x:v>Completed</x:v>
      </x:c>
      <x:c r="K340" t="n">
        <x:f>H340*I340</x:f>
        <x:v>5000</x:v>
      </x:c>
      <x:c r="L340" s="16" t="n">
        <x:f>IF(J340="Completed",K340*0.80,0)</x:f>
        <x:v>4000</x:v>
      </x:c>
      <x:c r="M340" t="n">
        <x:v>4.1</x:v>
      </x:c>
      <x:c r="N340" t="str">
        <x:v>Yes</x:v>
      </x:c>
      <x:c r="O340" t="str">
        <x:v>Customer Success</x:v>
      </x:c>
    </x:row>
    <x:row r="341">
      <x:c r="A341" t="str">
        <x:v>CRB5339</x:v>
      </x:c>
      <x:c r="B341" t="str">
        <x:v>2026-07-08</x:v>
      </x:c>
      <x:c r="C341" t="str">
        <x:v>Ananya Reddy</x:v>
      </x:c>
      <x:c r="D341" t="str">
        <x:v>u2646</x:v>
      </x:c>
      <x:c r="E341" t="str">
        <x:v>Google Search</x:v>
      </x:c>
      <x:c r="F341" t="str">
        <x:v>Udaipur</x:v>
      </x:c>
      <x:c r="G341" t="str">
        <x:v>Blue Pottery</x:v>
      </x:c>
      <x:c r="H341" t="n">
        <x:v>6</x:v>
      </x:c>
      <x:c r="I341" t="n">
        <x:v>2000</x:v>
      </x:c>
      <x:c r="J341" t="str">
        <x:v>Completed</x:v>
      </x:c>
      <x:c r="K341" t="n">
        <x:f>H341*I341</x:f>
        <x:v>12000</x:v>
      </x:c>
      <x:c r="L341" s="16" t="n">
        <x:f>IF(J341="Completed",K341*0.80,0)</x:f>
        <x:v>9600</x:v>
      </x:c>
      <x:c r="M341" t="n">
        <x:v>3.9</x:v>
      </x:c>
      <x:c r="N341" t="str">
        <x:v>Yes</x:v>
      </x:c>
      <x:c r="O341" t="str">
        <x:v>Revenue / Enterprise Team</x:v>
      </x:c>
    </x:row>
    <x:row r="342">
      <x:c r="A342" t="str">
        <x:v>CRB5340</x:v>
      </x:c>
      <x:c r="B342" t="str">
        <x:v>2026-07-08</x:v>
      </x:c>
      <x:c r="C342" t="str">
        <x:v>Mark Thompson</x:v>
      </x:c>
      <x:c r="D342" t="str">
        <x:v>u2648</x:v>
      </x:c>
      <x:c r="E342" t="str">
        <x:v>Direct</x:v>
      </x:c>
      <x:c r="F342" t="str">
        <x:v>Bangalore</x:v>
      </x:c>
      <x:c r="G342" t="str">
        <x:v>Block Printing</x:v>
      </x:c>
      <x:c r="H342" t="n">
        <x:v>1</x:v>
      </x:c>
      <x:c r="I342" t="n">
        <x:v>1500</x:v>
      </x:c>
      <x:c r="J342" t="str">
        <x:v>Completed</x:v>
      </x:c>
      <x:c r="K342" t="n">
        <x:f>H342*I342</x:f>
        <x:v>1500</x:v>
      </x:c>
      <x:c r="L342" s="16" t="n">
        <x:f>IF(J342="Completed",K342*0.80,0)</x:f>
        <x:v>1200</x:v>
      </x:c>
      <x:c r="M342" t="n">
        <x:v>4.1</x:v>
      </x:c>
      <x:c r="N342" t="str">
        <x:v>No</x:v>
      </x:c>
      <x:c r="O342" t="str">
        <x:v>Revenue / Enterprise Team</x:v>
      </x:c>
    </x:row>
    <x:row r="343">
      <x:c r="A343" t="str">
        <x:v>CRB5341</x:v>
      </x:c>
      <x:c r="B343" t="str">
        <x:v>2026-07-08</x:v>
      </x:c>
      <x:c r="C343" t="str">
        <x:v>Ananya Reddy</x:v>
      </x:c>
      <x:c r="D343" t="str">
        <x:v>u2654</x:v>
      </x:c>
      <x:c r="E343" t="str">
        <x:v>Travel Blog</x:v>
      </x:c>
      <x:c r="F343" t="str">
        <x:v>Bangalore</x:v>
      </x:c>
      <x:c r="G343" t="str">
        <x:v>Blue Pottery</x:v>
      </x:c>
      <x:c r="H343" t="n">
        <x:v>3</x:v>
      </x:c>
      <x:c r="I343" t="n">
        <x:v>2000</x:v>
      </x:c>
      <x:c r="J343" t="str">
        <x:v>Completed</x:v>
      </x:c>
      <x:c r="K343" t="n">
        <x:f>H343*I343</x:f>
        <x:v>6000</x:v>
      </x:c>
      <x:c r="L343" s="16" t="n">
        <x:f>IF(J343="Completed",K343*0.80,0)</x:f>
        <x:v>4800</x:v>
      </x:c>
      <x:c r="M343" t="n">
        <x:v>4.2</x:v>
      </x:c>
      <x:c r="N343" t="str">
        <x:v>Yes</x:v>
      </x:c>
      <x:c r="O343" t="str">
        <x:v>Traveler Success</x:v>
      </x:c>
    </x:row>
    <x:row r="344">
      <x:c r="A344" t="str">
        <x:v>CRB5342</x:v>
      </x:c>
      <x:c r="B344" t="str">
        <x:v>2026-07-08</x:v>
      </x:c>
      <x:c r="C344" t="str">
        <x:v>Mark Thompson</x:v>
      </x:c>
      <x:c r="D344" t="str">
        <x:v>u2658</x:v>
      </x:c>
      <x:c r="E344" t="str">
        <x:v>Instagram</x:v>
      </x:c>
      <x:c r="F344" t="str">
        <x:v>Udaipur</x:v>
      </x:c>
      <x:c r="G344" t="str">
        <x:v>Blue Pottery</x:v>
      </x:c>
      <x:c r="H344" t="n">
        <x:v>10</x:v>
      </x:c>
      <x:c r="I344" t="n">
        <x:v>2500</x:v>
      </x:c>
      <x:c r="J344" t="str">
        <x:v>Completed</x:v>
      </x:c>
      <x:c r="K344" t="n">
        <x:f>H344*I344</x:f>
        <x:v>25000</x:v>
      </x:c>
      <x:c r="L344" s="16" t="n">
        <x:f>IF(J344="Completed",K344*0.80,0)</x:f>
        <x:v>20000</x:v>
      </x:c>
      <x:c r="M344" t="n">
        <x:v>4.4</x:v>
      </x:c>
      <x:c r="N344" t="str">
        <x:v>Yes</x:v>
      </x:c>
      <x:c r="O344" t="str">
        <x:v>Revenue / Enterprise Team</x:v>
      </x:c>
    </x:row>
    <x:row r="345">
      <x:c r="A345" t="str">
        <x:v>CRB5343</x:v>
      </x:c>
      <x:c r="B345" t="str">
        <x:v>2026-07-08</x:v>
      </x:c>
      <x:c r="C345" t="str">
        <x:v>Priya Sharma</x:v>
      </x:c>
      <x:c r="D345" t="str">
        <x:v>u2659</x:v>
      </x:c>
      <x:c r="E345" t="str">
        <x:v>Referral</x:v>
      </x:c>
      <x:c r="F345" t="str">
        <x:v>Varanasi</x:v>
      </x:c>
      <x:c r="G345" t="str">
        <x:v>Warli Painting</x:v>
      </x:c>
      <x:c r="H345" t="n">
        <x:v>10</x:v>
      </x:c>
      <x:c r="I345" t="n">
        <x:v>3500</x:v>
      </x:c>
      <x:c r="J345" t="str">
        <x:v>Completed</x:v>
      </x:c>
      <x:c r="K345" t="n">
        <x:f>H345*I345</x:f>
        <x:v>35000</x:v>
      </x:c>
      <x:c r="L345" s="16" t="n">
        <x:f>IF(J345="Completed",K345*0.80,0)</x:f>
        <x:v>28000</x:v>
      </x:c>
      <x:c r="M345" t="n">
        <x:v>4.7</x:v>
      </x:c>
      <x:c r="N345" t="str">
        <x:v>Yes</x:v>
      </x:c>
      <x:c r="O345" t="str">
        <x:v>Revenue / Enterprise Team</x:v>
      </x:c>
    </x:row>
    <x:row r="346">
      <x:c r="A346" t="str">
        <x:v>CRB5344</x:v>
      </x:c>
      <x:c r="B346" t="str">
        <x:v>2026-07-08</x:v>
      </x:c>
      <x:c r="C346" t="str">
        <x:v>Priya Sharma</x:v>
      </x:c>
      <x:c r="D346" t="str">
        <x:v>u2666</x:v>
      </x:c>
      <x:c r="E346" t="str">
        <x:v>Referral</x:v>
      </x:c>
      <x:c r="F346" t="str">
        <x:v>Varanasi</x:v>
      </x:c>
      <x:c r="G346" t="str">
        <x:v>Pottery</x:v>
      </x:c>
      <x:c r="H346" t="n">
        <x:v>1</x:v>
      </x:c>
      <x:c r="I346" t="n">
        <x:v>2000</x:v>
      </x:c>
      <x:c r="J346" t="str">
        <x:v>Completed</x:v>
      </x:c>
      <x:c r="K346" t="n">
        <x:f>H346*I346</x:f>
        <x:v>2000</x:v>
      </x:c>
      <x:c r="L346" s="16" t="n">
        <x:f>IF(J346="Completed",K346*0.80,0)</x:f>
        <x:v>1600</x:v>
      </x:c>
      <x:c r="M346" t="n">
        <x:v>4.1</x:v>
      </x:c>
      <x:c r="N346" t="str">
        <x:v>Yes</x:v>
      </x:c>
      <x:c r="O346" t="str">
        <x:v>Customer Success</x:v>
      </x:c>
    </x:row>
    <x:row r="347">
      <x:c r="A347" t="str">
        <x:v>CRB5345</x:v>
      </x:c>
      <x:c r="B347" t="str">
        <x:v>2026-07-08</x:v>
      </x:c>
      <x:c r="C347" t="str">
        <x:v>Priya Sharma</x:v>
      </x:c>
      <x:c r="D347" t="str">
        <x:v>u2668</x:v>
      </x:c>
      <x:c r="E347" t="str">
        <x:v>Referral</x:v>
      </x:c>
      <x:c r="F347" t="str">
        <x:v>Varanasi</x:v>
      </x:c>
      <x:c r="G347" t="str">
        <x:v>Weaving</x:v>
      </x:c>
      <x:c r="H347" t="n">
        <x:v>2</x:v>
      </x:c>
      <x:c r="I347" t="n">
        <x:v>3500</x:v>
      </x:c>
      <x:c r="J347" t="str">
        <x:v>Completed</x:v>
      </x:c>
      <x:c r="K347" t="n">
        <x:f>H347*I347</x:f>
        <x:v>7000</x:v>
      </x:c>
      <x:c r="L347" s="16" t="n">
        <x:f>IF(J347="Completed",K347*0.80,0)</x:f>
        <x:v>5600</x:v>
      </x:c>
      <x:c r="M347" t="n">
        <x:v>3.9</x:v>
      </x:c>
      <x:c r="N347" t="str">
        <x:v>No</x:v>
      </x:c>
      <x:c r="O347" t="str">
        <x:v>Revenue / Enterprise Team</x:v>
      </x:c>
    </x:row>
    <x:row r="348">
      <x:c r="A348" t="str">
        <x:v>CRB5346</x:v>
      </x:c>
      <x:c r="B348" t="str">
        <x:v>2026-07-08</x:v>
      </x:c>
      <x:c r="C348" t="str">
        <x:v>Mark Thompson</x:v>
      </x:c>
      <x:c r="D348" t="str">
        <x:v>u2672</x:v>
      </x:c>
      <x:c r="E348" t="str">
        <x:v>Instagram</x:v>
      </x:c>
      <x:c r="F348" t="str">
        <x:v>Bangalore</x:v>
      </x:c>
      <x:c r="G348" t="str">
        <x:v>Blue Pottery</x:v>
      </x:c>
      <x:c r="H348" t="n">
        <x:v>6</x:v>
      </x:c>
      <x:c r="I348" t="n">
        <x:v>3500</x:v>
      </x:c>
      <x:c r="J348" t="str">
        <x:v>Completed</x:v>
      </x:c>
      <x:c r="K348" t="n">
        <x:f>H348*I348</x:f>
        <x:v>21000</x:v>
      </x:c>
      <x:c r="L348" s="16" t="n">
        <x:f>IF(J348="Completed",K348*0.80,0)</x:f>
        <x:v>16800</x:v>
      </x:c>
      <x:c r="M348" t="n">
        <x:v>4.6</x:v>
      </x:c>
      <x:c r="N348" t="str">
        <x:v>No</x:v>
      </x:c>
      <x:c r="O348" t="str">
        <x:v>Traveler Success</x:v>
      </x:c>
    </x:row>
    <x:row r="349">
      <x:c r="A349" t="str">
        <x:v>CRB5347</x:v>
      </x:c>
      <x:c r="B349" t="str">
        <x:v>2026-07-08</x:v>
      </x:c>
      <x:c r="C349" t="str">
        <x:v>Rahul Mehta</x:v>
      </x:c>
      <x:c r="D349" t="str">
        <x:v>u2674</x:v>
      </x:c>
      <x:c r="E349" t="str">
        <x:v>Referral</x:v>
      </x:c>
      <x:c r="F349" t="str">
        <x:v>Udaipur</x:v>
      </x:c>
      <x:c r="G349" t="str">
        <x:v>Weaving</x:v>
      </x:c>
      <x:c r="H349" t="n">
        <x:v>2</x:v>
      </x:c>
      <x:c r="I349" t="n">
        <x:v>2500</x:v>
      </x:c>
      <x:c r="J349" t="str">
        <x:v>Completed</x:v>
      </x:c>
      <x:c r="K349" t="n">
        <x:f>H349*I349</x:f>
        <x:v>5000</x:v>
      </x:c>
      <x:c r="L349" s="16" t="n">
        <x:f>IF(J349="Completed",K349*0.80,0)</x:f>
        <x:v>4000</x:v>
      </x:c>
      <x:c r="M349" t="n">
        <x:v>4.8</x:v>
      </x:c>
      <x:c r="N349" t="str">
        <x:v>No</x:v>
      </x:c>
      <x:c r="O349" t="str">
        <x:v>Traveler Success</x:v>
      </x:c>
    </x:row>
    <x:row r="350">
      <x:c r="A350" t="str">
        <x:v>CRB5348</x:v>
      </x:c>
      <x:c r="B350" t="str">
        <x:v>2026-07-08</x:v>
      </x:c>
      <x:c r="C350" t="str">
        <x:v>Mark Thompson</x:v>
      </x:c>
      <x:c r="D350" t="str">
        <x:v>u2681</x:v>
      </x:c>
      <x:c r="E350" t="str">
        <x:v>Google Search</x:v>
      </x:c>
      <x:c r="F350" t="str">
        <x:v>Udaipur</x:v>
      </x:c>
      <x:c r="G350" t="str">
        <x:v>Weaving</x:v>
      </x:c>
      <x:c r="H350" t="n">
        <x:v>10</x:v>
      </x:c>
      <x:c r="I350" t="n">
        <x:v>2000</x:v>
      </x:c>
      <x:c r="J350" t="str">
        <x:v>Completed</x:v>
      </x:c>
      <x:c r="K350" t="n">
        <x:f>H350*I350</x:f>
        <x:v>20000</x:v>
      </x:c>
      <x:c r="L350" s="16" t="n">
        <x:f>IF(J350="Completed",K350*0.80,0)</x:f>
        <x:v>16000</x:v>
      </x:c>
      <x:c r="M350" t="n">
        <x:v>3.9</x:v>
      </x:c>
      <x:c r="N350" t="str">
        <x:v>No</x:v>
      </x:c>
      <x:c r="O350" t="str">
        <x:v>Revenue / Enterprise Team</x:v>
      </x:c>
    </x:row>
    <x:row r="351">
      <x:c r="A351" t="str">
        <x:v>CRB5349</x:v>
      </x:c>
      <x:c r="B351" t="str">
        <x:v>2026-07-08</x:v>
      </x:c>
      <x:c r="C351" t="str">
        <x:v>Sofia Martinez</x:v>
      </x:c>
      <x:c r="D351" t="str">
        <x:v>u2688</x:v>
      </x:c>
      <x:c r="E351" t="str">
        <x:v>Direct</x:v>
      </x:c>
      <x:c r="F351" t="str">
        <x:v>Udaipur</x:v>
      </x:c>
      <x:c r="G351" t="str">
        <x:v>Block Printing</x:v>
      </x:c>
      <x:c r="H351" t="n">
        <x:v>2</x:v>
      </x:c>
      <x:c r="I351" t="n">
        <x:v>1500</x:v>
      </x:c>
      <x:c r="J351" t="str">
        <x:v>Completed</x:v>
      </x:c>
      <x:c r="K351" t="n">
        <x:f>H351*I351</x:f>
        <x:v>3000</x:v>
      </x:c>
      <x:c r="L351" s="16" t="n">
        <x:f>IF(J351="Completed",K351*0.80,0)</x:f>
        <x:v>2400</x:v>
      </x:c>
      <x:c r="M351" t="n">
        <x:v>4.9</x:v>
      </x:c>
      <x:c r="N351" t="str">
        <x:v>No</x:v>
      </x:c>
      <x:c r="O351" t="str">
        <x:v>Traveler Success</x:v>
      </x:c>
    </x:row>
    <x:row r="352">
      <x:c r="A352" t="str">
        <x:v>CRB5350</x:v>
      </x:c>
      <x:c r="B352" t="str">
        <x:v>2026-07-08</x:v>
      </x:c>
      <x:c r="C352" t="str">
        <x:v>Ananya Reddy</x:v>
      </x:c>
      <x:c r="D352" t="str">
        <x:v>u2696</x:v>
      </x:c>
      <x:c r="E352" t="str">
        <x:v>Instagram</x:v>
      </x:c>
      <x:c r="F352" t="str">
        <x:v>Khurja</x:v>
      </x:c>
      <x:c r="G352" t="str">
        <x:v>Weaving</x:v>
      </x:c>
      <x:c r="H352" t="n">
        <x:v>10</x:v>
      </x:c>
      <x:c r="I352" t="n">
        <x:v>2000</x:v>
      </x:c>
      <x:c r="J352" t="str">
        <x:v>Completed</x:v>
      </x:c>
      <x:c r="K352" t="n">
        <x:f>H352*I352</x:f>
        <x:v>20000</x:v>
      </x:c>
      <x:c r="L352" s="16" t="n">
        <x:f>IF(J352="Completed",K352*0.80,0)</x:f>
        <x:v>16000</x:v>
      </x:c>
      <x:c r="M352" t="n">
        <x:v>4</x:v>
      </x:c>
      <x:c r="N352" t="str">
        <x:v>Yes</x:v>
      </x:c>
      <x:c r="O352" t="str">
        <x:v>Revenue / Enterprise Team</x:v>
      </x:c>
    </x:row>
    <x:row r="353">
      <x:c r="A353" t="str">
        <x:v>CRB5351</x:v>
      </x:c>
      <x:c r="B353" t="str">
        <x:v>2026-07-08</x:v>
      </x:c>
      <x:c r="C353" t="str">
        <x:v>Rahul Mehta</x:v>
      </x:c>
      <x:c r="D353" t="str">
        <x:v>u2698</x:v>
      </x:c>
      <x:c r="E353" t="str">
        <x:v>Referral</x:v>
      </x:c>
      <x:c r="F353" t="str">
        <x:v>Jaipur</x:v>
      </x:c>
      <x:c r="G353" t="str">
        <x:v>Weaving</x:v>
      </x:c>
      <x:c r="H353" t="n">
        <x:v>12</x:v>
      </x:c>
      <x:c r="I353" t="n">
        <x:v>1800</x:v>
      </x:c>
      <x:c r="J353" t="str">
        <x:v>Completed</x:v>
      </x:c>
      <x:c r="K353" t="n">
        <x:f>H353*I353</x:f>
        <x:v>21600</x:v>
      </x:c>
      <x:c r="L353" s="16" t="n">
        <x:f>IF(J353="Completed",K353*0.80,0)</x:f>
        <x:v>17280</x:v>
      </x:c>
      <x:c r="M353" t="n">
        <x:v>4.9</x:v>
      </x:c>
      <x:c r="N353" t="str">
        <x:v>Yes</x:v>
      </x:c>
      <x:c r="O353" t="str">
        <x:v>Traveler Success</x:v>
      </x:c>
    </x:row>
    <x:row r="354">
      <x:c r="A354" t="str">
        <x:v>CRB5352</x:v>
      </x:c>
      <x:c r="B354" t="str">
        <x:v>2026-07-08</x:v>
      </x:c>
      <x:c r="C354" t="str">
        <x:v>Rahul Mehta</x:v>
      </x:c>
      <x:c r="D354" t="str">
        <x:v>u2705</x:v>
      </x:c>
      <x:c r="E354" t="str">
        <x:v>Instagram</x:v>
      </x:c>
      <x:c r="F354" t="str">
        <x:v>Khurja</x:v>
      </x:c>
      <x:c r="G354" t="str">
        <x:v>Weaving</x:v>
      </x:c>
      <x:c r="H354" t="n">
        <x:v>2</x:v>
      </x:c>
      <x:c r="I354" t="n">
        <x:v>3000</x:v>
      </x:c>
      <x:c r="J354" t="str">
        <x:v>Completed</x:v>
      </x:c>
      <x:c r="K354" t="n">
        <x:f>H354*I354</x:f>
        <x:v>6000</x:v>
      </x:c>
      <x:c r="L354" s="16" t="n">
        <x:f>IF(J354="Completed",K354*0.80,0)</x:f>
        <x:v>4800</x:v>
      </x:c>
      <x:c r="M354" t="n">
        <x:v>4.2</x:v>
      </x:c>
      <x:c r="N354" t="str">
        <x:v>No</x:v>
      </x:c>
      <x:c r="O354" t="str">
        <x:v>Customer Success</x:v>
      </x:c>
    </x:row>
    <x:row r="355">
      <x:c r="A355" t="str">
        <x:v>CRB5353</x:v>
      </x:c>
      <x:c r="B355" t="str">
        <x:v>2026-07-08</x:v>
      </x:c>
      <x:c r="C355" t="str">
        <x:v>Sofia Martinez</x:v>
      </x:c>
      <x:c r="D355" t="str">
        <x:v>u2712</x:v>
      </x:c>
      <x:c r="E355" t="str">
        <x:v>Instagram</x:v>
      </x:c>
      <x:c r="F355" t="str">
        <x:v>Bangalore</x:v>
      </x:c>
      <x:c r="G355" t="str">
        <x:v>Pottery</x:v>
      </x:c>
      <x:c r="H355" t="n">
        <x:v>3</x:v>
      </x:c>
      <x:c r="I355" t="n">
        <x:v>3000</x:v>
      </x:c>
      <x:c r="J355" t="str">
        <x:v>Completed</x:v>
      </x:c>
      <x:c r="K355" t="n">
        <x:f>H355*I355</x:f>
        <x:v>9000</x:v>
      </x:c>
      <x:c r="L355" s="16" t="n">
        <x:f>IF(J355="Completed",K355*0.80,0)</x:f>
        <x:v>7200</x:v>
      </x:c>
      <x:c r="M355" t="n">
        <x:v>4.1</x:v>
      </x:c>
      <x:c r="N355" t="str">
        <x:v>No</x:v>
      </x:c>
      <x:c r="O355" t="str">
        <x:v>Revenue / Enterprise Team</x:v>
      </x:c>
    </x:row>
    <x:row r="356">
      <x:c r="A356" t="str">
        <x:v>CRB5354</x:v>
      </x:c>
      <x:c r="B356" t="str">
        <x:v>2026-07-08</x:v>
      </x:c>
      <x:c r="C356" t="str">
        <x:v>Rahul Mehta</x:v>
      </x:c>
      <x:c r="D356" t="str">
        <x:v>u2713</x:v>
      </x:c>
      <x:c r="E356" t="str">
        <x:v>Referral</x:v>
      </x:c>
      <x:c r="F356" t="str">
        <x:v>Udaipur</x:v>
      </x:c>
      <x:c r="G356" t="str">
        <x:v>Warli Painting</x:v>
      </x:c>
      <x:c r="H356" t="n">
        <x:v>3</x:v>
      </x:c>
      <x:c r="I356" t="n">
        <x:v>2000</x:v>
      </x:c>
      <x:c r="J356" t="str">
        <x:v>Completed</x:v>
      </x:c>
      <x:c r="K356" t="n">
        <x:f>H356*I356</x:f>
        <x:v>6000</x:v>
      </x:c>
      <x:c r="L356" s="16" t="n">
        <x:f>IF(J356="Completed",K356*0.80,0)</x:f>
        <x:v>4800</x:v>
      </x:c>
      <x:c r="M356" t="n">
        <x:v>4.6</x:v>
      </x:c>
      <x:c r="N356" t="str">
        <x:v>No</x:v>
      </x:c>
      <x:c r="O356" t="str">
        <x:v>Revenue / Enterprise Team</x:v>
      </x:c>
    </x:row>
    <x:row r="357">
      <x:c r="A357" t="str">
        <x:v>CRB5355</x:v>
      </x:c>
      <x:c r="B357" t="str">
        <x:v>2026-07-08</x:v>
      </x:c>
      <x:c r="C357" t="str">
        <x:v>Mark Thompson</x:v>
      </x:c>
      <x:c r="D357" t="str">
        <x:v>u2718</x:v>
      </x:c>
      <x:c r="E357" t="str">
        <x:v>Travel Blog</x:v>
      </x:c>
      <x:c r="F357" t="str">
        <x:v>Bangalore</x:v>
      </x:c>
      <x:c r="G357" t="str">
        <x:v>Blue Pottery</x:v>
      </x:c>
      <x:c r="H357" t="n">
        <x:v>3</x:v>
      </x:c>
      <x:c r="I357" t="n">
        <x:v>3500</x:v>
      </x:c>
      <x:c r="J357" t="str">
        <x:v>Completed</x:v>
      </x:c>
      <x:c r="K357" t="n">
        <x:f>H357*I357</x:f>
        <x:v>10500</x:v>
      </x:c>
      <x:c r="L357" s="16" t="n">
        <x:f>IF(J357="Completed",K357*0.80,0)</x:f>
        <x:v>8400</x:v>
      </x:c>
      <x:c r="M357" t="n">
        <x:v>4.7</x:v>
      </x:c>
      <x:c r="N357" t="str">
        <x:v>No</x:v>
      </x:c>
      <x:c r="O357" t="str">
        <x:v>Customer Success</x:v>
      </x:c>
    </x:row>
    <x:row r="358">
      <x:c r="A358" t="str">
        <x:v>CRB5356</x:v>
      </x:c>
      <x:c r="B358" t="str">
        <x:v>2026-07-08</x:v>
      </x:c>
      <x:c r="C358" t="str">
        <x:v>Priya Sharma</x:v>
      </x:c>
      <x:c r="D358" t="str">
        <x:v>u2728</x:v>
      </x:c>
      <x:c r="E358" t="str">
        <x:v>Referral</x:v>
      </x:c>
      <x:c r="F358" t="str">
        <x:v>Udaipur</x:v>
      </x:c>
      <x:c r="G358" t="str">
        <x:v>Pottery</x:v>
      </x:c>
      <x:c r="H358" t="n">
        <x:v>1</x:v>
      </x:c>
      <x:c r="I358" t="n">
        <x:v>3500</x:v>
      </x:c>
      <x:c r="J358" t="str">
        <x:v>Cancelled</x:v>
      </x:c>
      <x:c r="K358" t="n">
        <x:f>H358*I358</x:f>
        <x:v>3500</x:v>
      </x:c>
      <x:c r="L358" s="16" t="n">
        <x:f>IF(J358="Completed",K358*0.80,0)</x:f>
        <x:v>0</x:v>
      </x:c>
      <x:c r="M358" t="str"/>
      <x:c r="N358" t="str">
        <x:v>No</x:v>
      </x:c>
      <x:c r="O358" t="str">
        <x:v>Customer Success</x:v>
      </x:c>
    </x:row>
    <x:row r="359">
      <x:c r="A359" t="str">
        <x:v>CRB5357</x:v>
      </x:c>
      <x:c r="B359" t="str">
        <x:v>2026-07-08</x:v>
      </x:c>
      <x:c r="C359" t="str">
        <x:v>Mark Thompson</x:v>
      </x:c>
      <x:c r="D359" t="str">
        <x:v>u2734</x:v>
      </x:c>
      <x:c r="E359" t="str">
        <x:v>Google Search</x:v>
      </x:c>
      <x:c r="F359" t="str">
        <x:v>Jaipur</x:v>
      </x:c>
      <x:c r="G359" t="str">
        <x:v>Warli Painting</x:v>
      </x:c>
      <x:c r="H359" t="n">
        <x:v>4</x:v>
      </x:c>
      <x:c r="I359" t="n">
        <x:v>3500</x:v>
      </x:c>
      <x:c r="J359" t="str">
        <x:v>Completed</x:v>
      </x:c>
      <x:c r="K359" t="n">
        <x:f>H359*I359</x:f>
        <x:v>14000</x:v>
      </x:c>
      <x:c r="L359" s="16" t="n">
        <x:f>IF(J359="Completed",K359*0.80,0)</x:f>
        <x:v>11200</x:v>
      </x:c>
      <x:c r="M359" t="n">
        <x:v>3.8</x:v>
      </x:c>
      <x:c r="N359" t="str">
        <x:v>No</x:v>
      </x:c>
      <x:c r="O359" t="str">
        <x:v>Traveler Success</x:v>
      </x:c>
    </x:row>
    <x:row r="360">
      <x:c r="A360" t="str">
        <x:v>CRB5358</x:v>
      </x:c>
      <x:c r="B360" t="str">
        <x:v>2026-07-08</x:v>
      </x:c>
      <x:c r="C360" t="str">
        <x:v>Rahul Mehta</x:v>
      </x:c>
      <x:c r="D360" t="str">
        <x:v>u2743</x:v>
      </x:c>
      <x:c r="E360" t="str">
        <x:v>Travel Blog</x:v>
      </x:c>
      <x:c r="F360" t="str">
        <x:v>Bangalore</x:v>
      </x:c>
      <x:c r="G360" t="str">
        <x:v>Warli Painting</x:v>
      </x:c>
      <x:c r="H360" t="n">
        <x:v>10</x:v>
      </x:c>
      <x:c r="I360" t="n">
        <x:v>2000</x:v>
      </x:c>
      <x:c r="J360" t="str">
        <x:v>Completed</x:v>
      </x:c>
      <x:c r="K360" t="n">
        <x:f>H360*I360</x:f>
        <x:v>20000</x:v>
      </x:c>
      <x:c r="L360" s="16" t="n">
        <x:f>IF(J360="Completed",K360*0.80,0)</x:f>
        <x:v>16000</x:v>
      </x:c>
      <x:c r="M360" t="n">
        <x:v>3.8</x:v>
      </x:c>
      <x:c r="N360" t="str">
        <x:v>No</x:v>
      </x:c>
      <x:c r="O360" t="str">
        <x:v>Traveler Success</x:v>
      </x:c>
    </x:row>
    <x:row r="361">
      <x:c r="A361" t="str">
        <x:v>CRB5359</x:v>
      </x:c>
      <x:c r="B361" t="str">
        <x:v>2026-07-08</x:v>
      </x:c>
      <x:c r="C361" t="str">
        <x:v>Priya Sharma</x:v>
      </x:c>
      <x:c r="D361" t="str">
        <x:v>u2746</x:v>
      </x:c>
      <x:c r="E361" t="str">
        <x:v>Direct</x:v>
      </x:c>
      <x:c r="F361" t="str">
        <x:v>Jaipur</x:v>
      </x:c>
      <x:c r="G361" t="str">
        <x:v>Block Printing</x:v>
      </x:c>
      <x:c r="H361" t="n">
        <x:v>1</x:v>
      </x:c>
      <x:c r="I361" t="n">
        <x:v>1800</x:v>
      </x:c>
      <x:c r="J361" t="str">
        <x:v>Completed</x:v>
      </x:c>
      <x:c r="K361" t="n">
        <x:f>H361*I361</x:f>
        <x:v>1800</x:v>
      </x:c>
      <x:c r="L361" s="16" t="n">
        <x:f>IF(J361="Completed",K361*0.80,0)</x:f>
        <x:v>1440</x:v>
      </x:c>
      <x:c r="M361" t="n">
        <x:v>4</x:v>
      </x:c>
      <x:c r="N361" t="str">
        <x:v>Yes</x:v>
      </x:c>
      <x:c r="O361" t="str">
        <x:v>Customer Success</x:v>
      </x:c>
    </x:row>
    <x:row r="362">
      <x:c r="A362" t="str">
        <x:v>CRB5360</x:v>
      </x:c>
      <x:c r="B362" t="str">
        <x:v>2026-07-08</x:v>
      </x:c>
      <x:c r="C362" t="str">
        <x:v>Mark Thompson</x:v>
      </x:c>
      <x:c r="D362" t="str">
        <x:v>u2750</x:v>
      </x:c>
      <x:c r="E362" t="str">
        <x:v>Google Search</x:v>
      </x:c>
      <x:c r="F362" t="str">
        <x:v>Khurja</x:v>
      </x:c>
      <x:c r="G362" t="str">
        <x:v>Weaving</x:v>
      </x:c>
      <x:c r="H362" t="n">
        <x:v>6</x:v>
      </x:c>
      <x:c r="I362" t="n">
        <x:v>2500</x:v>
      </x:c>
      <x:c r="J362" t="str">
        <x:v>Completed</x:v>
      </x:c>
      <x:c r="K362" t="n">
        <x:f>H362*I362</x:f>
        <x:v>15000</x:v>
      </x:c>
      <x:c r="L362" s="16" t="n">
        <x:f>IF(J362="Completed",K362*0.80,0)</x:f>
        <x:v>12000</x:v>
      </x:c>
      <x:c r="M362" t="n">
        <x:v>4.1</x:v>
      </x:c>
      <x:c r="N362" t="str">
        <x:v>No</x:v>
      </x:c>
      <x:c r="O362" t="str">
        <x:v>Traveler Success</x:v>
      </x:c>
    </x:row>
    <x:row r="363">
      <x:c r="A363" t="str">
        <x:v>CRB5361</x:v>
      </x:c>
      <x:c r="B363" t="str">
        <x:v>2026-07-08</x:v>
      </x:c>
      <x:c r="C363" t="str">
        <x:v>Sofia Martinez</x:v>
      </x:c>
      <x:c r="D363" t="str">
        <x:v>u2751</x:v>
      </x:c>
      <x:c r="E363" t="str">
        <x:v>Direct</x:v>
      </x:c>
      <x:c r="F363" t="str">
        <x:v>Udaipur</x:v>
      </x:c>
      <x:c r="G363" t="str">
        <x:v>Block Printing</x:v>
      </x:c>
      <x:c r="H363" t="n">
        <x:v>1</x:v>
      </x:c>
      <x:c r="I363" t="n">
        <x:v>2000</x:v>
      </x:c>
      <x:c r="J363" t="str">
        <x:v>Completed</x:v>
      </x:c>
      <x:c r="K363" t="n">
        <x:f>H363*I363</x:f>
        <x:v>2000</x:v>
      </x:c>
      <x:c r="L363" s="16" t="n">
        <x:f>IF(J363="Completed",K363*0.80,0)</x:f>
        <x:v>1600</x:v>
      </x:c>
      <x:c r="M363" t="n">
        <x:v>3.9</x:v>
      </x:c>
      <x:c r="N363" t="str">
        <x:v>No</x:v>
      </x:c>
      <x:c r="O363" t="str">
        <x:v>Traveler Success</x:v>
      </x:c>
    </x:row>
    <x:row r="364">
      <x:c r="A364" t="str">
        <x:v>CRB5362</x:v>
      </x:c>
      <x:c r="B364" t="str">
        <x:v>2026-07-08</x:v>
      </x:c>
      <x:c r="C364" t="str">
        <x:v>Sofia Martinez</x:v>
      </x:c>
      <x:c r="D364" t="str">
        <x:v>u2752</x:v>
      </x:c>
      <x:c r="E364" t="str">
        <x:v>Instagram</x:v>
      </x:c>
      <x:c r="F364" t="str">
        <x:v>Bangalore</x:v>
      </x:c>
      <x:c r="G364" t="str">
        <x:v>Blue Pottery</x:v>
      </x:c>
      <x:c r="H364" t="n">
        <x:v>3</x:v>
      </x:c>
      <x:c r="I364" t="n">
        <x:v>2000</x:v>
      </x:c>
      <x:c r="J364" t="str">
        <x:v>Completed</x:v>
      </x:c>
      <x:c r="K364" t="n">
        <x:f>H364*I364</x:f>
        <x:v>6000</x:v>
      </x:c>
      <x:c r="L364" s="16" t="n">
        <x:f>IF(J364="Completed",K364*0.80,0)</x:f>
        <x:v>4800</x:v>
      </x:c>
      <x:c r="M364" t="n">
        <x:v>4.1</x:v>
      </x:c>
      <x:c r="N364" t="str">
        <x:v>No</x:v>
      </x:c>
      <x:c r="O364" t="str">
        <x:v>Customer Success</x:v>
      </x:c>
    </x:row>
    <x:row r="365">
      <x:c r="A365" t="str">
        <x:v>CRB5363</x:v>
      </x:c>
      <x:c r="B365" t="str">
        <x:v>2026-07-08</x:v>
      </x:c>
      <x:c r="C365" t="str">
        <x:v>Rahul Mehta</x:v>
      </x:c>
      <x:c r="D365" t="str">
        <x:v>u2755</x:v>
      </x:c>
      <x:c r="E365" t="str">
        <x:v>Referral</x:v>
      </x:c>
      <x:c r="F365" t="str">
        <x:v>Khurja</x:v>
      </x:c>
      <x:c r="G365" t="str">
        <x:v>Weaving</x:v>
      </x:c>
      <x:c r="H365" t="n">
        <x:v>10</x:v>
      </x:c>
      <x:c r="I365" t="n">
        <x:v>2000</x:v>
      </x:c>
      <x:c r="J365" t="str">
        <x:v>Completed</x:v>
      </x:c>
      <x:c r="K365" t="n">
        <x:f>H365*I365</x:f>
        <x:v>20000</x:v>
      </x:c>
      <x:c r="L365" s="16" t="n">
        <x:f>IF(J365="Completed",K365*0.80,0)</x:f>
        <x:v>16000</x:v>
      </x:c>
      <x:c r="M365" t="n">
        <x:v>4.5</x:v>
      </x:c>
      <x:c r="N365" t="str">
        <x:v>No</x:v>
      </x:c>
      <x:c r="O365" t="str">
        <x:v>Traveler Success</x:v>
      </x:c>
    </x:row>
    <x:row r="366">
      <x:c r="A366" t="str">
        <x:v>CRB5364</x:v>
      </x:c>
      <x:c r="B366" t="str">
        <x:v>2026-07-08</x:v>
      </x:c>
      <x:c r="C366" t="str">
        <x:v>Mark Thompson</x:v>
      </x:c>
      <x:c r="D366" t="str">
        <x:v>u2757</x:v>
      </x:c>
      <x:c r="E366" t="str">
        <x:v>Google Search</x:v>
      </x:c>
      <x:c r="F366" t="str">
        <x:v>Khurja</x:v>
      </x:c>
      <x:c r="G366" t="str">
        <x:v>Pottery</x:v>
      </x:c>
      <x:c r="H366" t="n">
        <x:v>1</x:v>
      </x:c>
      <x:c r="I366" t="n">
        <x:v>1800</x:v>
      </x:c>
      <x:c r="J366" t="str">
        <x:v>Completed</x:v>
      </x:c>
      <x:c r="K366" t="n">
        <x:f>H366*I366</x:f>
        <x:v>1800</x:v>
      </x:c>
      <x:c r="L366" s="16" t="n">
        <x:f>IF(J366="Completed",K366*0.80,0)</x:f>
        <x:v>1440</x:v>
      </x:c>
      <x:c r="M366" t="n">
        <x:v>4.6</x:v>
      </x:c>
      <x:c r="N366" t="str">
        <x:v>No</x:v>
      </x:c>
      <x:c r="O366" t="str">
        <x:v>Revenue / Enterprise Team</x:v>
      </x:c>
    </x:row>
    <x:row r="367">
      <x:c r="A367" t="str">
        <x:v>CRB5365</x:v>
      </x:c>
      <x:c r="B367" t="str">
        <x:v>2026-07-08</x:v>
      </x:c>
      <x:c r="C367" t="str">
        <x:v>Mark Thompson</x:v>
      </x:c>
      <x:c r="D367" t="str">
        <x:v>u2766</x:v>
      </x:c>
      <x:c r="E367" t="str">
        <x:v>Instagram</x:v>
      </x:c>
      <x:c r="F367" t="str">
        <x:v>Khurja</x:v>
      </x:c>
      <x:c r="G367" t="str">
        <x:v>Blue Pottery</x:v>
      </x:c>
      <x:c r="H367" t="n">
        <x:v>6</x:v>
      </x:c>
      <x:c r="I367" t="n">
        <x:v>1500</x:v>
      </x:c>
      <x:c r="J367" t="str">
        <x:v>Cancelled</x:v>
      </x:c>
      <x:c r="K367" t="n">
        <x:f>H367*I367</x:f>
        <x:v>9000</x:v>
      </x:c>
      <x:c r="L367" s="16" t="n">
        <x:f>IF(J367="Completed",K367*0.80,0)</x:f>
        <x:v>0</x:v>
      </x:c>
      <x:c r="M367" t="str"/>
      <x:c r="N367" t="str">
        <x:v>Yes</x:v>
      </x:c>
      <x:c r="O367" t="str">
        <x:v>Revenue / Enterprise Team</x:v>
      </x:c>
    </x:row>
    <x:row r="368">
      <x:c r="A368" t="str">
        <x:v>CRB5366</x:v>
      </x:c>
      <x:c r="B368" t="str">
        <x:v>2026-07-08</x:v>
      </x:c>
      <x:c r="C368" t="str">
        <x:v>Mark Thompson</x:v>
      </x:c>
      <x:c r="D368" t="str">
        <x:v>u2772</x:v>
      </x:c>
      <x:c r="E368" t="str">
        <x:v>Instagram</x:v>
      </x:c>
      <x:c r="F368" t="str">
        <x:v>Jaipur</x:v>
      </x:c>
      <x:c r="G368" t="str">
        <x:v>Blue Pottery</x:v>
      </x:c>
      <x:c r="H368" t="n">
        <x:v>4</x:v>
      </x:c>
      <x:c r="I368" t="n">
        <x:v>3500</x:v>
      </x:c>
      <x:c r="J368" t="str">
        <x:v>Completed</x:v>
      </x:c>
      <x:c r="K368" t="n">
        <x:f>H368*I368</x:f>
        <x:v>14000</x:v>
      </x:c>
      <x:c r="L368" s="16" t="n">
        <x:f>IF(J368="Completed",K368*0.80,0)</x:f>
        <x:v>11200</x:v>
      </x:c>
      <x:c r="M368" t="n">
        <x:v>3.8</x:v>
      </x:c>
      <x:c r="N368" t="str">
        <x:v>No</x:v>
      </x:c>
      <x:c r="O368" t="str">
        <x:v>Revenue / Enterprise Team</x:v>
      </x:c>
    </x:row>
    <x:row r="369">
      <x:c r="A369" t="str">
        <x:v>CRB5367</x:v>
      </x:c>
      <x:c r="B369" t="str">
        <x:v>2026-07-08</x:v>
      </x:c>
      <x:c r="C369" t="str">
        <x:v>Mark Thompson</x:v>
      </x:c>
      <x:c r="D369" t="str">
        <x:v>u2775</x:v>
      </x:c>
      <x:c r="E369" t="str">
        <x:v>Referral</x:v>
      </x:c>
      <x:c r="F369" t="str">
        <x:v>Jaipur</x:v>
      </x:c>
      <x:c r="G369" t="str">
        <x:v>Pottery</x:v>
      </x:c>
      <x:c r="H369" t="n">
        <x:v>10</x:v>
      </x:c>
      <x:c r="I369" t="n">
        <x:v>1800</x:v>
      </x:c>
      <x:c r="J369" t="str">
        <x:v>Completed</x:v>
      </x:c>
      <x:c r="K369" t="n">
        <x:f>H369*I369</x:f>
        <x:v>18000</x:v>
      </x:c>
      <x:c r="L369" s="16" t="n">
        <x:f>IF(J369="Completed",K369*0.80,0)</x:f>
        <x:v>14400</x:v>
      </x:c>
      <x:c r="M369" t="n">
        <x:v>4.9</x:v>
      </x:c>
      <x:c r="N369" t="str">
        <x:v>No</x:v>
      </x:c>
      <x:c r="O369" t="str">
        <x:v>Revenue / Enterprise Team</x:v>
      </x:c>
    </x:row>
    <x:row r="370">
      <x:c r="A370" t="str">
        <x:v>CRB5368</x:v>
      </x:c>
      <x:c r="B370" t="str">
        <x:v>2026-07-08</x:v>
      </x:c>
      <x:c r="C370" t="str">
        <x:v>Sofia Martinez</x:v>
      </x:c>
      <x:c r="D370" t="str">
        <x:v>u2789</x:v>
      </x:c>
      <x:c r="E370" t="str">
        <x:v>Referral</x:v>
      </x:c>
      <x:c r="F370" t="str">
        <x:v>Jaipur</x:v>
      </x:c>
      <x:c r="G370" t="str">
        <x:v>Warli Painting</x:v>
      </x:c>
      <x:c r="H370" t="n">
        <x:v>1</x:v>
      </x:c>
      <x:c r="I370" t="n">
        <x:v>1500</x:v>
      </x:c>
      <x:c r="J370" t="str">
        <x:v>Completed</x:v>
      </x:c>
      <x:c r="K370" t="n">
        <x:f>H370*I370</x:f>
        <x:v>1500</x:v>
      </x:c>
      <x:c r="L370" s="16" t="n">
        <x:f>IF(J370="Completed",K370*0.80,0)</x:f>
        <x:v>1200</x:v>
      </x:c>
      <x:c r="M370" t="n">
        <x:v>4.4</x:v>
      </x:c>
      <x:c r="N370" t="str">
        <x:v>No</x:v>
      </x:c>
      <x:c r="O370" t="str">
        <x:v>Customer Success</x:v>
      </x:c>
    </x:row>
    <x:row r="371">
      <x:c r="A371" t="str">
        <x:v>CRB5369</x:v>
      </x:c>
      <x:c r="B371" t="str">
        <x:v>2026-07-08</x:v>
      </x:c>
      <x:c r="C371" t="str">
        <x:v>Ananya Reddy</x:v>
      </x:c>
      <x:c r="D371" t="str">
        <x:v>u2800</x:v>
      </x:c>
      <x:c r="E371" t="str">
        <x:v>Google Search</x:v>
      </x:c>
      <x:c r="F371" t="str">
        <x:v>Khurja</x:v>
      </x:c>
      <x:c r="G371" t="str">
        <x:v>Weaving</x:v>
      </x:c>
      <x:c r="H371" t="n">
        <x:v>2</x:v>
      </x:c>
      <x:c r="I371" t="n">
        <x:v>3500</x:v>
      </x:c>
      <x:c r="J371" t="str">
        <x:v>Completed</x:v>
      </x:c>
      <x:c r="K371" t="n">
        <x:f>H371*I371</x:f>
        <x:v>7000</x:v>
      </x:c>
      <x:c r="L371" s="16" t="n">
        <x:f>IF(J371="Completed",K371*0.80,0)</x:f>
        <x:v>5600</x:v>
      </x:c>
      <x:c r="M371" t="n">
        <x:v>4.4</x:v>
      </x:c>
      <x:c r="N371" t="str">
        <x:v>No</x:v>
      </x:c>
      <x:c r="O371" t="str">
        <x:v>Traveler Success</x:v>
      </x:c>
    </x:row>
    <x:row r="372">
      <x:c r="A372" t="str">
        <x:v>CRB5370</x:v>
      </x:c>
      <x:c r="B372" t="str">
        <x:v>2026-07-08</x:v>
      </x:c>
      <x:c r="C372" t="str">
        <x:v>Sofia Martinez</x:v>
      </x:c>
      <x:c r="D372" t="str">
        <x:v>u2803</x:v>
      </x:c>
      <x:c r="E372" t="str">
        <x:v>Referral</x:v>
      </x:c>
      <x:c r="F372" t="str">
        <x:v>Jaipur</x:v>
      </x:c>
      <x:c r="G372" t="str">
        <x:v>Blue Pottery</x:v>
      </x:c>
      <x:c r="H372" t="n">
        <x:v>10</x:v>
      </x:c>
      <x:c r="I372" t="n">
        <x:v>3000</x:v>
      </x:c>
      <x:c r="J372" t="str">
        <x:v>Completed</x:v>
      </x:c>
      <x:c r="K372" t="n">
        <x:f>H372*I372</x:f>
        <x:v>30000</x:v>
      </x:c>
      <x:c r="L372" s="16" t="n">
        <x:f>IF(J372="Completed",K372*0.80,0)</x:f>
        <x:v>24000</x:v>
      </x:c>
      <x:c r="M372" t="n">
        <x:v>4.3</x:v>
      </x:c>
      <x:c r="N372" t="str">
        <x:v>No</x:v>
      </x:c>
      <x:c r="O372" t="str">
        <x:v>Traveler Success</x:v>
      </x:c>
    </x:row>
    <x:row r="373">
      <x:c r="A373" t="str">
        <x:v>CRB5371</x:v>
      </x:c>
      <x:c r="B373" t="str">
        <x:v>2026-07-08</x:v>
      </x:c>
      <x:c r="C373" t="str">
        <x:v>Mark Thompson</x:v>
      </x:c>
      <x:c r="D373" t="str">
        <x:v>u2805</x:v>
      </x:c>
      <x:c r="E373" t="str">
        <x:v>Referral</x:v>
      </x:c>
      <x:c r="F373" t="str">
        <x:v>Udaipur</x:v>
      </x:c>
      <x:c r="G373" t="str">
        <x:v>Warli Painting</x:v>
      </x:c>
      <x:c r="H373" t="n">
        <x:v>1</x:v>
      </x:c>
      <x:c r="I373" t="n">
        <x:v>1800</x:v>
      </x:c>
      <x:c r="J373" t="str">
        <x:v>Completed</x:v>
      </x:c>
      <x:c r="K373" t="n">
        <x:f>H373*I373</x:f>
        <x:v>1800</x:v>
      </x:c>
      <x:c r="L373" s="16" t="n">
        <x:f>IF(J373="Completed",K373*0.80,0)</x:f>
        <x:v>1440</x:v>
      </x:c>
      <x:c r="M373" t="n">
        <x:v>4.1</x:v>
      </x:c>
      <x:c r="N373" t="str">
        <x:v>No</x:v>
      </x:c>
      <x:c r="O373" t="str">
        <x:v>Revenue / Enterprise Team</x:v>
      </x:c>
    </x:row>
    <x:row r="374">
      <x:c r="A374" t="str">
        <x:v>CRB5372</x:v>
      </x:c>
      <x:c r="B374" t="str">
        <x:v>2026-07-08</x:v>
      </x:c>
      <x:c r="C374" t="str">
        <x:v>Sofia Martinez</x:v>
      </x:c>
      <x:c r="D374" t="str">
        <x:v>u2807</x:v>
      </x:c>
      <x:c r="E374" t="str">
        <x:v>Google Search</x:v>
      </x:c>
      <x:c r="F374" t="str">
        <x:v>Khurja</x:v>
      </x:c>
      <x:c r="G374" t="str">
        <x:v>Blue Pottery</x:v>
      </x:c>
      <x:c r="H374" t="n">
        <x:v>6</x:v>
      </x:c>
      <x:c r="I374" t="n">
        <x:v>2200</x:v>
      </x:c>
      <x:c r="J374" t="str">
        <x:v>Completed</x:v>
      </x:c>
      <x:c r="K374" t="n">
        <x:f>H374*I374</x:f>
        <x:v>13200</x:v>
      </x:c>
      <x:c r="L374" s="16" t="n">
        <x:f>IF(J374="Completed",K374*0.80,0)</x:f>
        <x:v>10560</x:v>
      </x:c>
      <x:c r="M374" t="n">
        <x:v>4.1</x:v>
      </x:c>
      <x:c r="N374" t="str">
        <x:v>No</x:v>
      </x:c>
      <x:c r="O374" t="str">
        <x:v>Traveler Success</x:v>
      </x:c>
    </x:row>
    <x:row r="375">
      <x:c r="A375" t="str">
        <x:v>CRB5373</x:v>
      </x:c>
      <x:c r="B375" t="str">
        <x:v>2026-07-08</x:v>
      </x:c>
      <x:c r="C375" t="str">
        <x:v>Rahul Mehta</x:v>
      </x:c>
      <x:c r="D375" t="str">
        <x:v>u2812</x:v>
      </x:c>
      <x:c r="E375" t="str">
        <x:v>Travel Blog</x:v>
      </x:c>
      <x:c r="F375" t="str">
        <x:v>Udaipur</x:v>
      </x:c>
      <x:c r="G375" t="str">
        <x:v>Block Printing</x:v>
      </x:c>
      <x:c r="H375" t="n">
        <x:v>12</x:v>
      </x:c>
      <x:c r="I375" t="n">
        <x:v>2500</x:v>
      </x:c>
      <x:c r="J375" t="str">
        <x:v>Completed</x:v>
      </x:c>
      <x:c r="K375" t="n">
        <x:f>H375*I375</x:f>
        <x:v>30000</x:v>
      </x:c>
      <x:c r="L375" s="16" t="n">
        <x:f>IF(J375="Completed",K375*0.80,0)</x:f>
        <x:v>24000</x:v>
      </x:c>
      <x:c r="M375" t="n">
        <x:v>4.2</x:v>
      </x:c>
      <x:c r="N375" t="str">
        <x:v>No</x:v>
      </x:c>
      <x:c r="O375" t="str">
        <x:v>Traveler Success</x:v>
      </x:c>
    </x:row>
    <x:row r="376">
      <x:c r="A376" t="str">
        <x:v>CRB5374</x:v>
      </x:c>
      <x:c r="B376" t="str">
        <x:v>2026-07-08</x:v>
      </x:c>
      <x:c r="C376" t="str">
        <x:v>Priya Sharma</x:v>
      </x:c>
      <x:c r="D376" t="str">
        <x:v>u2820</x:v>
      </x:c>
      <x:c r="E376" t="str">
        <x:v>Instagram</x:v>
      </x:c>
      <x:c r="F376" t="str">
        <x:v>Udaipur</x:v>
      </x:c>
      <x:c r="G376" t="str">
        <x:v>Weaving</x:v>
      </x:c>
      <x:c r="H376" t="n">
        <x:v>1</x:v>
      </x:c>
      <x:c r="I376" t="n">
        <x:v>2500</x:v>
      </x:c>
      <x:c r="J376" t="str">
        <x:v>Completed</x:v>
      </x:c>
      <x:c r="K376" t="n">
        <x:f>H376*I376</x:f>
        <x:v>2500</x:v>
      </x:c>
      <x:c r="L376" s="16" t="n">
        <x:f>IF(J376="Completed",K376*0.80,0)</x:f>
        <x:v>2000</x:v>
      </x:c>
      <x:c r="M376" t="n">
        <x:v>3.9</x:v>
      </x:c>
      <x:c r="N376" t="str">
        <x:v>No</x:v>
      </x:c>
      <x:c r="O376" t="str">
        <x:v>Revenue / Enterprise Team</x:v>
      </x:c>
    </x:row>
    <x:row r="377">
      <x:c r="A377" t="str">
        <x:v>CRB5375</x:v>
      </x:c>
      <x:c r="B377" t="str">
        <x:v>2026-07-08</x:v>
      </x:c>
      <x:c r="C377" t="str">
        <x:v>Sofia Martinez</x:v>
      </x:c>
      <x:c r="D377" t="str">
        <x:v>u2830</x:v>
      </x:c>
      <x:c r="E377" t="str">
        <x:v>Referral</x:v>
      </x:c>
      <x:c r="F377" t="str">
        <x:v>Khurja</x:v>
      </x:c>
      <x:c r="G377" t="str">
        <x:v>Weaving</x:v>
      </x:c>
      <x:c r="H377" t="n">
        <x:v>2</x:v>
      </x:c>
      <x:c r="I377" t="n">
        <x:v>3000</x:v>
      </x:c>
      <x:c r="J377" t="str">
        <x:v>Completed</x:v>
      </x:c>
      <x:c r="K377" t="n">
        <x:f>H377*I377</x:f>
        <x:v>6000</x:v>
      </x:c>
      <x:c r="L377" s="16" t="n">
        <x:f>IF(J377="Completed",K377*0.80,0)</x:f>
        <x:v>4800</x:v>
      </x:c>
      <x:c r="M377" t="n">
        <x:v>4</x:v>
      </x:c>
      <x:c r="N377" t="str">
        <x:v>No</x:v>
      </x:c>
      <x:c r="O377" t="str">
        <x:v>Customer Success</x:v>
      </x:c>
    </x:row>
    <x:row r="378">
      <x:c r="A378" t="str">
        <x:v>CRB5376</x:v>
      </x:c>
      <x:c r="B378" t="str">
        <x:v>2026-07-08</x:v>
      </x:c>
      <x:c r="C378" t="str">
        <x:v>Rahul Mehta</x:v>
      </x:c>
      <x:c r="D378" t="str">
        <x:v>u2837</x:v>
      </x:c>
      <x:c r="E378" t="str">
        <x:v>Google Search</x:v>
      </x:c>
      <x:c r="F378" t="str">
        <x:v>Bangalore</x:v>
      </x:c>
      <x:c r="G378" t="str">
        <x:v>Pottery</x:v>
      </x:c>
      <x:c r="H378" t="n">
        <x:v>2</x:v>
      </x:c>
      <x:c r="I378" t="n">
        <x:v>3000</x:v>
      </x:c>
      <x:c r="J378" t="str">
        <x:v>Completed</x:v>
      </x:c>
      <x:c r="K378" t="n">
        <x:f>H378*I378</x:f>
        <x:v>6000</x:v>
      </x:c>
      <x:c r="L378" s="16" t="n">
        <x:f>IF(J378="Completed",K378*0.80,0)</x:f>
        <x:v>4800</x:v>
      </x:c>
      <x:c r="M378" t="n">
        <x:v>3.9</x:v>
      </x:c>
      <x:c r="N378" t="str">
        <x:v>No</x:v>
      </x:c>
      <x:c r="O378" t="str">
        <x:v>Customer Success</x:v>
      </x:c>
    </x:row>
    <x:row r="379">
      <x:c r="A379" t="str">
        <x:v>CRB5377</x:v>
      </x:c>
      <x:c r="B379" t="str">
        <x:v>2026-07-08</x:v>
      </x:c>
      <x:c r="C379" t="str">
        <x:v>Priya Sharma</x:v>
      </x:c>
      <x:c r="D379" t="str">
        <x:v>u2838</x:v>
      </x:c>
      <x:c r="E379" t="str">
        <x:v>Referral</x:v>
      </x:c>
      <x:c r="F379" t="str">
        <x:v>Varanasi</x:v>
      </x:c>
      <x:c r="G379" t="str">
        <x:v>Blue Pottery</x:v>
      </x:c>
      <x:c r="H379" t="n">
        <x:v>2</x:v>
      </x:c>
      <x:c r="I379" t="n">
        <x:v>2500</x:v>
      </x:c>
      <x:c r="J379" t="str">
        <x:v>Completed</x:v>
      </x:c>
      <x:c r="K379" t="n">
        <x:f>H379*I379</x:f>
        <x:v>5000</x:v>
      </x:c>
      <x:c r="L379" s="16" t="n">
        <x:f>IF(J379="Completed",K379*0.80,0)</x:f>
        <x:v>4000</x:v>
      </x:c>
      <x:c r="M379" t="n">
        <x:v>5</x:v>
      </x:c>
      <x:c r="N379" t="str">
        <x:v>No</x:v>
      </x:c>
      <x:c r="O379" t="str">
        <x:v>Revenue / Enterprise Team</x:v>
      </x:c>
    </x:row>
    <x:row r="380">
      <x:c r="A380" t="str">
        <x:v>CRB5378</x:v>
      </x:c>
      <x:c r="B380" t="str">
        <x:v>2026-07-08</x:v>
      </x:c>
      <x:c r="C380" t="str">
        <x:v>Mark Thompson</x:v>
      </x:c>
      <x:c r="D380" t="str">
        <x:v>u2839</x:v>
      </x:c>
      <x:c r="E380" t="str">
        <x:v>Travel Blog</x:v>
      </x:c>
      <x:c r="F380" t="str">
        <x:v>Khurja</x:v>
      </x:c>
      <x:c r="G380" t="str">
        <x:v>Blue Pottery</x:v>
      </x:c>
      <x:c r="H380" t="n">
        <x:v>2</x:v>
      </x:c>
      <x:c r="I380" t="n">
        <x:v>1500</x:v>
      </x:c>
      <x:c r="J380" t="str">
        <x:v>Completed</x:v>
      </x:c>
      <x:c r="K380" t="n">
        <x:f>H380*I380</x:f>
        <x:v>3000</x:v>
      </x:c>
      <x:c r="L380" s="16" t="n">
        <x:f>IF(J380="Completed",K380*0.80,0)</x:f>
        <x:v>2400</x:v>
      </x:c>
      <x:c r="M380" t="n">
        <x:v>3.9</x:v>
      </x:c>
      <x:c r="N380" t="str">
        <x:v>No</x:v>
      </x:c>
      <x:c r="O380" t="str">
        <x:v>Traveler Success</x:v>
      </x:c>
    </x:row>
    <x:row r="381">
      <x:c r="A381" t="str">
        <x:v>CRB5379</x:v>
      </x:c>
      <x:c r="B381" t="str">
        <x:v>2026-07-08</x:v>
      </x:c>
      <x:c r="C381" t="str">
        <x:v>Ananya Reddy</x:v>
      </x:c>
      <x:c r="D381" t="str">
        <x:v>u2842</x:v>
      </x:c>
      <x:c r="E381" t="str">
        <x:v>Referral</x:v>
      </x:c>
      <x:c r="F381" t="str">
        <x:v>Bangalore</x:v>
      </x:c>
      <x:c r="G381" t="str">
        <x:v>Warli Painting</x:v>
      </x:c>
      <x:c r="H381" t="n">
        <x:v>12</x:v>
      </x:c>
      <x:c r="I381" t="n">
        <x:v>2000</x:v>
      </x:c>
      <x:c r="J381" t="str">
        <x:v>Completed</x:v>
      </x:c>
      <x:c r="K381" t="n">
        <x:f>H381*I381</x:f>
        <x:v>24000</x:v>
      </x:c>
      <x:c r="L381" s="16" t="n">
        <x:f>IF(J381="Completed",K381*0.80,0)</x:f>
        <x:v>19200</x:v>
      </x:c>
      <x:c r="M381" t="n">
        <x:v>4.9</x:v>
      </x:c>
      <x:c r="N381" t="str">
        <x:v>No</x:v>
      </x:c>
      <x:c r="O381" t="str">
        <x:v>Customer Success</x:v>
      </x:c>
    </x:row>
    <x:row r="382">
      <x:c r="A382" t="str">
        <x:v>CRB5380</x:v>
      </x:c>
      <x:c r="B382" t="str">
        <x:v>2026-07-08</x:v>
      </x:c>
      <x:c r="C382" t="str">
        <x:v>Rahul Mehta</x:v>
      </x:c>
      <x:c r="D382" t="str">
        <x:v>u2845</x:v>
      </x:c>
      <x:c r="E382" t="str">
        <x:v>Travel Blog</x:v>
      </x:c>
      <x:c r="F382" t="str">
        <x:v>Khurja</x:v>
      </x:c>
      <x:c r="G382" t="str">
        <x:v>Block Printing</x:v>
      </x:c>
      <x:c r="H382" t="n">
        <x:v>2</x:v>
      </x:c>
      <x:c r="I382" t="n">
        <x:v>2500</x:v>
      </x:c>
      <x:c r="J382" t="str">
        <x:v>Completed</x:v>
      </x:c>
      <x:c r="K382" t="n">
        <x:f>H382*I382</x:f>
        <x:v>5000</x:v>
      </x:c>
      <x:c r="L382" s="16" t="n">
        <x:f>IF(J382="Completed",K382*0.80,0)</x:f>
        <x:v>4000</x:v>
      </x:c>
      <x:c r="M382" t="n">
        <x:v>3.8</x:v>
      </x:c>
      <x:c r="N382" t="str">
        <x:v>No</x:v>
      </x:c>
      <x:c r="O382" t="str">
        <x:v>Traveler Success</x:v>
      </x:c>
    </x:row>
    <x:row r="383">
      <x:c r="A383" t="str">
        <x:v>CRB5381</x:v>
      </x:c>
      <x:c r="B383" t="str">
        <x:v>2026-07-08</x:v>
      </x:c>
      <x:c r="C383" t="str">
        <x:v>Sofia Martinez</x:v>
      </x:c>
      <x:c r="D383" t="str">
        <x:v>u2846</x:v>
      </x:c>
      <x:c r="E383" t="str">
        <x:v>Direct</x:v>
      </x:c>
      <x:c r="F383" t="str">
        <x:v>Udaipur</x:v>
      </x:c>
      <x:c r="G383" t="str">
        <x:v>Block Printing</x:v>
      </x:c>
      <x:c r="H383" t="n">
        <x:v>10</x:v>
      </x:c>
      <x:c r="I383" t="n">
        <x:v>2500</x:v>
      </x:c>
      <x:c r="J383" t="str">
        <x:v>Completed</x:v>
      </x:c>
      <x:c r="K383" t="n">
        <x:f>H383*I383</x:f>
        <x:v>25000</x:v>
      </x:c>
      <x:c r="L383" s="16" t="n">
        <x:f>IF(J383="Completed",K383*0.80,0)</x:f>
        <x:v>20000</x:v>
      </x:c>
      <x:c r="M383" t="n">
        <x:v>4.9</x:v>
      </x:c>
      <x:c r="N383" t="str">
        <x:v>No</x:v>
      </x:c>
      <x:c r="O383" t="str">
        <x:v>Revenue / Enterprise Team</x:v>
      </x:c>
    </x:row>
    <x:row r="384">
      <x:c r="A384" t="str">
        <x:v>CRB5382</x:v>
      </x:c>
      <x:c r="B384" t="str">
        <x:v>2026-07-08</x:v>
      </x:c>
      <x:c r="C384" t="str">
        <x:v>Ananya Reddy</x:v>
      </x:c>
      <x:c r="D384" t="str">
        <x:v>u2848</x:v>
      </x:c>
      <x:c r="E384" t="str">
        <x:v>Referral</x:v>
      </x:c>
      <x:c r="F384" t="str">
        <x:v>Khurja</x:v>
      </x:c>
      <x:c r="G384" t="str">
        <x:v>Weaving</x:v>
      </x:c>
      <x:c r="H384" t="n">
        <x:v>12</x:v>
      </x:c>
      <x:c r="I384" t="n">
        <x:v>1800</x:v>
      </x:c>
      <x:c r="J384" t="str">
        <x:v>Completed</x:v>
      </x:c>
      <x:c r="K384" t="n">
        <x:f>H384*I384</x:f>
        <x:v>21600</x:v>
      </x:c>
      <x:c r="L384" s="16" t="n">
        <x:f>IF(J384="Completed",K384*0.80,0)</x:f>
        <x:v>17280</x:v>
      </x:c>
      <x:c r="M384" t="n">
        <x:v>4.1</x:v>
      </x:c>
      <x:c r="N384" t="str">
        <x:v>No</x:v>
      </x:c>
      <x:c r="O384" t="str">
        <x:v>Revenue / Enterprise Team</x:v>
      </x:c>
    </x:row>
    <x:row r="385">
      <x:c r="A385" t="str">
        <x:v>CRB5383</x:v>
      </x:c>
      <x:c r="B385" t="str">
        <x:v>2026-07-08</x:v>
      </x:c>
      <x:c r="C385" t="str">
        <x:v>Rahul Mehta</x:v>
      </x:c>
      <x:c r="D385" t="str">
        <x:v>u2850</x:v>
      </x:c>
      <x:c r="E385" t="str">
        <x:v>Google Search</x:v>
      </x:c>
      <x:c r="F385" t="str">
        <x:v>Udaipur</x:v>
      </x:c>
      <x:c r="G385" t="str">
        <x:v>Block Printing</x:v>
      </x:c>
      <x:c r="H385" t="n">
        <x:v>12</x:v>
      </x:c>
      <x:c r="I385" t="n">
        <x:v>3500</x:v>
      </x:c>
      <x:c r="J385" t="str">
        <x:v>Completed</x:v>
      </x:c>
      <x:c r="K385" t="n">
        <x:f>H385*I385</x:f>
        <x:v>42000</x:v>
      </x:c>
      <x:c r="L385" s="16" t="n">
        <x:f>IF(J385="Completed",K385*0.80,0)</x:f>
        <x:v>33600</x:v>
      </x:c>
      <x:c r="M385" t="n">
        <x:v>4.9</x:v>
      </x:c>
      <x:c r="N385" t="str">
        <x:v>Yes</x:v>
      </x:c>
      <x:c r="O385" t="str">
        <x:v>Revenue / Enterprise Team</x:v>
      </x:c>
    </x:row>
    <x:row r="386">
      <x:c r="A386" t="str">
        <x:v>CRB5384</x:v>
      </x:c>
      <x:c r="B386" t="str">
        <x:v>2026-07-08</x:v>
      </x:c>
      <x:c r="C386" t="str">
        <x:v>Mark Thompson</x:v>
      </x:c>
      <x:c r="D386" t="str">
        <x:v>u2856</x:v>
      </x:c>
      <x:c r="E386" t="str">
        <x:v>Google Search</x:v>
      </x:c>
      <x:c r="F386" t="str">
        <x:v>Khurja</x:v>
      </x:c>
      <x:c r="G386" t="str">
        <x:v>Blue Pottery</x:v>
      </x:c>
      <x:c r="H386" t="n">
        <x:v>2</x:v>
      </x:c>
      <x:c r="I386" t="n">
        <x:v>2200</x:v>
      </x:c>
      <x:c r="J386" t="str">
        <x:v>Completed</x:v>
      </x:c>
      <x:c r="K386" t="n">
        <x:f>H386*I386</x:f>
        <x:v>4400</x:v>
      </x:c>
      <x:c r="L386" s="16" t="n">
        <x:f>IF(J386="Completed",K386*0.80,0)</x:f>
        <x:v>3520</x:v>
      </x:c>
      <x:c r="M386" t="n">
        <x:v>4.1</x:v>
      </x:c>
      <x:c r="N386" t="str">
        <x:v>No</x:v>
      </x:c>
      <x:c r="O386" t="str">
        <x:v>Customer Success</x:v>
      </x:c>
    </x:row>
    <x:row r="387">
      <x:c r="A387" t="str">
        <x:v>CRB5385</x:v>
      </x:c>
      <x:c r="B387" t="str">
        <x:v>2026-07-08</x:v>
      </x:c>
      <x:c r="C387" t="str">
        <x:v>Rahul Mehta</x:v>
      </x:c>
      <x:c r="D387" t="str">
        <x:v>u2862</x:v>
      </x:c>
      <x:c r="E387" t="str">
        <x:v>Travel Blog</x:v>
      </x:c>
      <x:c r="F387" t="str">
        <x:v>Varanasi</x:v>
      </x:c>
      <x:c r="G387" t="str">
        <x:v>Pottery</x:v>
      </x:c>
      <x:c r="H387" t="n">
        <x:v>1</x:v>
      </x:c>
      <x:c r="I387" t="n">
        <x:v>2000</x:v>
      </x:c>
      <x:c r="J387" t="str">
        <x:v>Completed</x:v>
      </x:c>
      <x:c r="K387" t="n">
        <x:f>H387*I387</x:f>
        <x:v>2000</x:v>
      </x:c>
      <x:c r="L387" s="16" t="n">
        <x:f>IF(J387="Completed",K387*0.80,0)</x:f>
        <x:v>1600</x:v>
      </x:c>
      <x:c r="M387" t="n">
        <x:v>4.8</x:v>
      </x:c>
      <x:c r="N387" t="str">
        <x:v>No</x:v>
      </x:c>
      <x:c r="O387" t="str">
        <x:v>Customer Success</x:v>
      </x:c>
    </x:row>
    <x:row r="388">
      <x:c r="A388" t="str">
        <x:v>CRB5386</x:v>
      </x:c>
      <x:c r="B388" t="str">
        <x:v>2026-07-08</x:v>
      </x:c>
      <x:c r="C388" t="str">
        <x:v>Ananya Reddy</x:v>
      </x:c>
      <x:c r="D388" t="str">
        <x:v>u2872</x:v>
      </x:c>
      <x:c r="E388" t="str">
        <x:v>Instagram</x:v>
      </x:c>
      <x:c r="F388" t="str">
        <x:v>Jaipur</x:v>
      </x:c>
      <x:c r="G388" t="str">
        <x:v>Blue Pottery</x:v>
      </x:c>
      <x:c r="H388" t="n">
        <x:v>2</x:v>
      </x:c>
      <x:c r="I388" t="n">
        <x:v>3000</x:v>
      </x:c>
      <x:c r="J388" t="str">
        <x:v>Cancelled</x:v>
      </x:c>
      <x:c r="K388" t="n">
        <x:f>H388*I388</x:f>
        <x:v>6000</x:v>
      </x:c>
      <x:c r="L388" s="16" t="n">
        <x:f>IF(J388="Completed",K388*0.80,0)</x:f>
        <x:v>0</x:v>
      </x:c>
      <x:c r="M388" t="str"/>
      <x:c r="N388" t="str">
        <x:v>No</x:v>
      </x:c>
      <x:c r="O388" t="str">
        <x:v>Revenue / Enterprise Team</x:v>
      </x:c>
    </x:row>
    <x:row r="389">
      <x:c r="A389" t="str">
        <x:v>CRB5387</x:v>
      </x:c>
      <x:c r="B389" t="str">
        <x:v>2026-07-08</x:v>
      </x:c>
      <x:c r="C389" t="str">
        <x:v>Rahul Mehta</x:v>
      </x:c>
      <x:c r="D389" t="str">
        <x:v>u2873</x:v>
      </x:c>
      <x:c r="E389" t="str">
        <x:v>Travel Blog</x:v>
      </x:c>
      <x:c r="F389" t="str">
        <x:v>Khurja</x:v>
      </x:c>
      <x:c r="G389" t="str">
        <x:v>Block Printing</x:v>
      </x:c>
      <x:c r="H389" t="n">
        <x:v>3</x:v>
      </x:c>
      <x:c r="I389" t="n">
        <x:v>3000</x:v>
      </x:c>
      <x:c r="J389" t="str">
        <x:v>Completed</x:v>
      </x:c>
      <x:c r="K389" t="n">
        <x:f>H389*I389</x:f>
        <x:v>9000</x:v>
      </x:c>
      <x:c r="L389" s="16" t="n">
        <x:f>IF(J389="Completed",K389*0.80,0)</x:f>
        <x:v>7200</x:v>
      </x:c>
      <x:c r="M389" t="n">
        <x:v>4.9</x:v>
      </x:c>
      <x:c r="N389" t="str">
        <x:v>No</x:v>
      </x:c>
      <x:c r="O389" t="str">
        <x:v>Traveler Success</x:v>
      </x:c>
    </x:row>
    <x:row r="390">
      <x:c r="A390" t="str">
        <x:v>CRB5388</x:v>
      </x:c>
      <x:c r="B390" t="str">
        <x:v>2026-07-08</x:v>
      </x:c>
      <x:c r="C390" t="str">
        <x:v>Priya Sharma</x:v>
      </x:c>
      <x:c r="D390" t="str">
        <x:v>u2876</x:v>
      </x:c>
      <x:c r="E390" t="str">
        <x:v>Instagram</x:v>
      </x:c>
      <x:c r="F390" t="str">
        <x:v>Khurja</x:v>
      </x:c>
      <x:c r="G390" t="str">
        <x:v>Blue Pottery</x:v>
      </x:c>
      <x:c r="H390" t="n">
        <x:v>3</x:v>
      </x:c>
      <x:c r="I390" t="n">
        <x:v>2500</x:v>
      </x:c>
      <x:c r="J390" t="str">
        <x:v>Completed</x:v>
      </x:c>
      <x:c r="K390" t="n">
        <x:f>H390*I390</x:f>
        <x:v>7500</x:v>
      </x:c>
      <x:c r="L390" s="16" t="n">
        <x:f>IF(J390="Completed",K390*0.80,0)</x:f>
        <x:v>6000</x:v>
      </x:c>
      <x:c r="M390" t="n">
        <x:v>4.5</x:v>
      </x:c>
      <x:c r="N390" t="str">
        <x:v>No</x:v>
      </x:c>
      <x:c r="O390" t="str">
        <x:v>Revenue / Enterprise Team</x:v>
      </x:c>
    </x:row>
    <x:row r="391">
      <x:c r="A391" t="str">
        <x:v>CRB5389</x:v>
      </x:c>
      <x:c r="B391" t="str">
        <x:v>2026-07-09</x:v>
      </x:c>
      <x:c r="C391" t="str">
        <x:v>Rahul Mehta</x:v>
      </x:c>
      <x:c r="D391" t="str">
        <x:v>u2885</x:v>
      </x:c>
      <x:c r="E391" t="str">
        <x:v>Google Search</x:v>
      </x:c>
      <x:c r="F391" t="str">
        <x:v>Khurja</x:v>
      </x:c>
      <x:c r="G391" t="str">
        <x:v>Block Printing</x:v>
      </x:c>
      <x:c r="H391" t="n">
        <x:v>6</x:v>
      </x:c>
      <x:c r="I391" t="n">
        <x:v>3500</x:v>
      </x:c>
      <x:c r="J391" t="str">
        <x:v>Completed</x:v>
      </x:c>
      <x:c r="K391" t="n">
        <x:f>H391*I391</x:f>
        <x:v>21000</x:v>
      </x:c>
      <x:c r="L391" s="16" t="n">
        <x:f>IF(J391="Completed",K391*0.80,0)</x:f>
        <x:v>16800</x:v>
      </x:c>
      <x:c r="M391" t="n">
        <x:v>4.2</x:v>
      </x:c>
      <x:c r="N391" t="str">
        <x:v>No</x:v>
      </x:c>
      <x:c r="O391" t="str">
        <x:v>Revenue / Enterprise Team</x:v>
      </x:c>
    </x:row>
    <x:row r="392">
      <x:c r="A392" t="str">
        <x:v>CRB5390</x:v>
      </x:c>
      <x:c r="B392" t="str">
        <x:v>2026-07-09</x:v>
      </x:c>
      <x:c r="C392" t="str">
        <x:v>Rahul Mehta</x:v>
      </x:c>
      <x:c r="D392" t="str">
        <x:v>u2894</x:v>
      </x:c>
      <x:c r="E392" t="str">
        <x:v>Google Search</x:v>
      </x:c>
      <x:c r="F392" t="str">
        <x:v>Varanasi</x:v>
      </x:c>
      <x:c r="G392" t="str">
        <x:v>Weaving</x:v>
      </x:c>
      <x:c r="H392" t="n">
        <x:v>10</x:v>
      </x:c>
      <x:c r="I392" t="n">
        <x:v>2000</x:v>
      </x:c>
      <x:c r="J392" t="str">
        <x:v>Completed</x:v>
      </x:c>
      <x:c r="K392" t="n">
        <x:f>H392*I392</x:f>
        <x:v>20000</x:v>
      </x:c>
      <x:c r="L392" s="16" t="n">
        <x:f>IF(J392="Completed",K392*0.80,0)</x:f>
        <x:v>16000</x:v>
      </x:c>
      <x:c r="M392" t="n">
        <x:v>4.8</x:v>
      </x:c>
      <x:c r="N392" t="str">
        <x:v>No</x:v>
      </x:c>
      <x:c r="O392" t="str">
        <x:v>Customer Success</x:v>
      </x:c>
    </x:row>
    <x:row r="393">
      <x:c r="A393" t="str">
        <x:v>CRB5391</x:v>
      </x:c>
      <x:c r="B393" t="str">
        <x:v>2026-07-09</x:v>
      </x:c>
      <x:c r="C393" t="str">
        <x:v>Sofia Martinez</x:v>
      </x:c>
      <x:c r="D393" t="str">
        <x:v>u2898</x:v>
      </x:c>
      <x:c r="E393" t="str">
        <x:v>Instagram</x:v>
      </x:c>
      <x:c r="F393" t="str">
        <x:v>Jaipur</x:v>
      </x:c>
      <x:c r="G393" t="str">
        <x:v>Block Printing</x:v>
      </x:c>
      <x:c r="H393" t="n">
        <x:v>4</x:v>
      </x:c>
      <x:c r="I393" t="n">
        <x:v>1500</x:v>
      </x:c>
      <x:c r="J393" t="str">
        <x:v>Completed</x:v>
      </x:c>
      <x:c r="K393" t="n">
        <x:f>H393*I393</x:f>
        <x:v>6000</x:v>
      </x:c>
      <x:c r="L393" s="16" t="n">
        <x:f>IF(J393="Completed",K393*0.80,0)</x:f>
        <x:v>4800</x:v>
      </x:c>
      <x:c r="M393" t="n">
        <x:v>3.9</x:v>
      </x:c>
      <x:c r="N393" t="str">
        <x:v>No</x:v>
      </x:c>
      <x:c r="O393" t="str">
        <x:v>Traveler Success</x:v>
      </x:c>
    </x:row>
    <x:row r="394">
      <x:c r="A394" t="str">
        <x:v>CRB5392</x:v>
      </x:c>
      <x:c r="B394" t="str">
        <x:v>2026-07-09</x:v>
      </x:c>
      <x:c r="C394" t="str">
        <x:v>Priya Sharma</x:v>
      </x:c>
      <x:c r="D394" t="str">
        <x:v>u2899</x:v>
      </x:c>
      <x:c r="E394" t="str">
        <x:v>Direct</x:v>
      </x:c>
      <x:c r="F394" t="str">
        <x:v>Varanasi</x:v>
      </x:c>
      <x:c r="G394" t="str">
        <x:v>Warli Painting</x:v>
      </x:c>
      <x:c r="H394" t="n">
        <x:v>4</x:v>
      </x:c>
      <x:c r="I394" t="n">
        <x:v>2500</x:v>
      </x:c>
      <x:c r="J394" t="str">
        <x:v>Completed</x:v>
      </x:c>
      <x:c r="K394" t="n">
        <x:f>H394*I394</x:f>
        <x:v>10000</x:v>
      </x:c>
      <x:c r="L394" s="16" t="n">
        <x:f>IF(J394="Completed",K394*0.80,0)</x:f>
        <x:v>8000</x:v>
      </x:c>
      <x:c r="M394" t="n">
        <x:v>3.8</x:v>
      </x:c>
      <x:c r="N394" t="str">
        <x:v>No</x:v>
      </x:c>
      <x:c r="O394" t="str">
        <x:v>Customer Success</x:v>
      </x:c>
    </x:row>
    <x:row r="395">
      <x:c r="A395" t="str">
        <x:v>CRB5393</x:v>
      </x:c>
      <x:c r="B395" t="str">
        <x:v>2026-07-09</x:v>
      </x:c>
      <x:c r="C395" t="str">
        <x:v>Mark Thompson</x:v>
      </x:c>
      <x:c r="D395" t="str">
        <x:v>u2900</x:v>
      </x:c>
      <x:c r="E395" t="str">
        <x:v>Travel Blog</x:v>
      </x:c>
      <x:c r="F395" t="str">
        <x:v>Khurja</x:v>
      </x:c>
      <x:c r="G395" t="str">
        <x:v>Pottery</x:v>
      </x:c>
      <x:c r="H395" t="n">
        <x:v>3</x:v>
      </x:c>
      <x:c r="I395" t="n">
        <x:v>3000</x:v>
      </x:c>
      <x:c r="J395" t="str">
        <x:v>No-show</x:v>
      </x:c>
      <x:c r="K395" t="n">
        <x:f>H395*I395</x:f>
        <x:v>9000</x:v>
      </x:c>
      <x:c r="L395" s="16" t="n">
        <x:f>IF(J395="Completed",K395*0.80,0)</x:f>
        <x:v>0</x:v>
      </x:c>
      <x:c r="M395" t="str"/>
      <x:c r="N395" t="str">
        <x:v>No</x:v>
      </x:c>
      <x:c r="O395" t="str">
        <x:v>Revenue / Enterprise Team</x:v>
      </x:c>
    </x:row>
    <x:row r="396">
      <x:c r="A396" t="str">
        <x:v>CRB5394</x:v>
      </x:c>
      <x:c r="B396" t="str">
        <x:v>2026-07-09</x:v>
      </x:c>
      <x:c r="C396" t="str">
        <x:v>Priya Sharma</x:v>
      </x:c>
      <x:c r="D396" t="str">
        <x:v>u2903</x:v>
      </x:c>
      <x:c r="E396" t="str">
        <x:v>Referral</x:v>
      </x:c>
      <x:c r="F396" t="str">
        <x:v>Jaipur</x:v>
      </x:c>
      <x:c r="G396" t="str">
        <x:v>Warli Painting</x:v>
      </x:c>
      <x:c r="H396" t="n">
        <x:v>6</x:v>
      </x:c>
      <x:c r="I396" t="n">
        <x:v>3500</x:v>
      </x:c>
      <x:c r="J396" t="str">
        <x:v>Completed</x:v>
      </x:c>
      <x:c r="K396" t="n">
        <x:f>H396*I396</x:f>
        <x:v>21000</x:v>
      </x:c>
      <x:c r="L396" s="16" t="n">
        <x:f>IF(J396="Completed",K396*0.80,0)</x:f>
        <x:v>16800</x:v>
      </x:c>
      <x:c r="M396" t="n">
        <x:v>4.2</x:v>
      </x:c>
      <x:c r="N396" t="str">
        <x:v>Yes</x:v>
      </x:c>
      <x:c r="O396" t="str">
        <x:v>Revenue / Enterprise Team</x:v>
      </x:c>
    </x:row>
    <x:row r="397">
      <x:c r="A397" t="str">
        <x:v>CRB5395</x:v>
      </x:c>
      <x:c r="B397" t="str">
        <x:v>2026-07-09</x:v>
      </x:c>
      <x:c r="C397" t="str">
        <x:v>Mark Thompson</x:v>
      </x:c>
      <x:c r="D397" t="str">
        <x:v>u2909</x:v>
      </x:c>
      <x:c r="E397" t="str">
        <x:v>Referral</x:v>
      </x:c>
      <x:c r="F397" t="str">
        <x:v>Jaipur</x:v>
      </x:c>
      <x:c r="G397" t="str">
        <x:v>Warli Painting</x:v>
      </x:c>
      <x:c r="H397" t="n">
        <x:v>10</x:v>
      </x:c>
      <x:c r="I397" t="n">
        <x:v>1800</x:v>
      </x:c>
      <x:c r="J397" t="str">
        <x:v>Completed</x:v>
      </x:c>
      <x:c r="K397" t="n">
        <x:f>H397*I397</x:f>
        <x:v>18000</x:v>
      </x:c>
      <x:c r="L397" s="16" t="n">
        <x:f>IF(J397="Completed",K397*0.80,0)</x:f>
        <x:v>14400</x:v>
      </x:c>
      <x:c r="M397" t="n">
        <x:v>4.6</x:v>
      </x:c>
      <x:c r="N397" t="str">
        <x:v>No</x:v>
      </x:c>
      <x:c r="O397" t="str">
        <x:v>Revenue / Enterprise Team</x:v>
      </x:c>
    </x:row>
    <x:row r="398">
      <x:c r="A398" t="str">
        <x:v>CRB5396</x:v>
      </x:c>
      <x:c r="B398" t="str">
        <x:v>2026-07-09</x:v>
      </x:c>
      <x:c r="C398" t="str">
        <x:v>Rahul Mehta</x:v>
      </x:c>
      <x:c r="D398" t="str">
        <x:v>u2911</x:v>
      </x:c>
      <x:c r="E398" t="str">
        <x:v>Direct</x:v>
      </x:c>
      <x:c r="F398" t="str">
        <x:v>Khurja</x:v>
      </x:c>
      <x:c r="G398" t="str">
        <x:v>Pottery</x:v>
      </x:c>
      <x:c r="H398" t="n">
        <x:v>1</x:v>
      </x:c>
      <x:c r="I398" t="n">
        <x:v>2500</x:v>
      </x:c>
      <x:c r="J398" t="str">
        <x:v>Completed</x:v>
      </x:c>
      <x:c r="K398" t="n">
        <x:f>H398*I398</x:f>
        <x:v>2500</x:v>
      </x:c>
      <x:c r="L398" s="16" t="n">
        <x:f>IF(J398="Completed",K398*0.80,0)</x:f>
        <x:v>2000</x:v>
      </x:c>
      <x:c r="M398" t="n">
        <x:v>4.7</x:v>
      </x:c>
      <x:c r="N398" t="str">
        <x:v>No</x:v>
      </x:c>
      <x:c r="O398" t="str">
        <x:v>Traveler Success</x:v>
      </x:c>
    </x:row>
    <x:row r="399">
      <x:c r="A399" t="str">
        <x:v>CRB5397</x:v>
      </x:c>
      <x:c r="B399" t="str">
        <x:v>2026-07-09</x:v>
      </x:c>
      <x:c r="C399" t="str">
        <x:v>Ananya Reddy</x:v>
      </x:c>
      <x:c r="D399" t="str">
        <x:v>u2912</x:v>
      </x:c>
      <x:c r="E399" t="str">
        <x:v>Referral</x:v>
      </x:c>
      <x:c r="F399" t="str">
        <x:v>Varanasi</x:v>
      </x:c>
      <x:c r="G399" t="str">
        <x:v>Pottery</x:v>
      </x:c>
      <x:c r="H399" t="n">
        <x:v>4</x:v>
      </x:c>
      <x:c r="I399" t="n">
        <x:v>1800</x:v>
      </x:c>
      <x:c r="J399" t="str">
        <x:v>Cancelled</x:v>
      </x:c>
      <x:c r="K399" t="n">
        <x:f>H399*I399</x:f>
        <x:v>7200</x:v>
      </x:c>
      <x:c r="L399" s="16" t="n">
        <x:f>IF(J399="Completed",K399*0.80,0)</x:f>
        <x:v>0</x:v>
      </x:c>
      <x:c r="M399" t="str"/>
      <x:c r="N399" t="str">
        <x:v>No</x:v>
      </x:c>
      <x:c r="O399" t="str">
        <x:v>Traveler Success</x:v>
      </x:c>
    </x:row>
    <x:row r="400">
      <x:c r="A400" t="str">
        <x:v>CRB5398</x:v>
      </x:c>
      <x:c r="B400" t="str">
        <x:v>2026-07-09</x:v>
      </x:c>
      <x:c r="C400" t="str">
        <x:v>Mark Thompson</x:v>
      </x:c>
      <x:c r="D400" t="str">
        <x:v>u2922</x:v>
      </x:c>
      <x:c r="E400" t="str">
        <x:v>Travel Blog</x:v>
      </x:c>
      <x:c r="F400" t="str">
        <x:v>Varanasi</x:v>
      </x:c>
      <x:c r="G400" t="str">
        <x:v>Pottery</x:v>
      </x:c>
      <x:c r="H400" t="n">
        <x:v>10</x:v>
      </x:c>
      <x:c r="I400" t="n">
        <x:v>2200</x:v>
      </x:c>
      <x:c r="J400" t="str">
        <x:v>Completed</x:v>
      </x:c>
      <x:c r="K400" t="n">
        <x:f>H400*I400</x:f>
        <x:v>22000</x:v>
      </x:c>
      <x:c r="L400" s="16" t="n">
        <x:f>IF(J400="Completed",K400*0.80,0)</x:f>
        <x:v>17600</x:v>
      </x:c>
      <x:c r="M400" t="n">
        <x:v>4.7</x:v>
      </x:c>
      <x:c r="N400" t="str">
        <x:v>Yes</x:v>
      </x:c>
      <x:c r="O400" t="str">
        <x:v>Traveler Success</x:v>
      </x:c>
    </x:row>
    <x:row r="401">
      <x:c r="A401" t="str">
        <x:v>CRB5399</x:v>
      </x:c>
      <x:c r="B401" t="str">
        <x:v>2026-07-09</x:v>
      </x:c>
      <x:c r="C401" t="str">
        <x:v>Priya Sharma</x:v>
      </x:c>
      <x:c r="D401" t="str">
        <x:v>u2925</x:v>
      </x:c>
      <x:c r="E401" t="str">
        <x:v>Referral</x:v>
      </x:c>
      <x:c r="F401" t="str">
        <x:v>Varanasi</x:v>
      </x:c>
      <x:c r="G401" t="str">
        <x:v>Warli Painting</x:v>
      </x:c>
      <x:c r="H401" t="n">
        <x:v>2</x:v>
      </x:c>
      <x:c r="I401" t="n">
        <x:v>3000</x:v>
      </x:c>
      <x:c r="J401" t="str">
        <x:v>Completed</x:v>
      </x:c>
      <x:c r="K401" t="n">
        <x:f>H401*I401</x:f>
        <x:v>6000</x:v>
      </x:c>
      <x:c r="L401" s="16" t="n">
        <x:f>IF(J401="Completed",K401*0.80,0)</x:f>
        <x:v>4800</x:v>
      </x:c>
      <x:c r="M401" t="n">
        <x:v>4.2</x:v>
      </x:c>
      <x:c r="N401" t="str">
        <x:v>No</x:v>
      </x:c>
      <x:c r="O401" t="str">
        <x:v>Traveler Success</x:v>
      </x:c>
    </x:row>
    <x:row r="402">
      <x:c r="A402" t="str">
        <x:v>CRB5400</x:v>
      </x:c>
      <x:c r="B402" t="str">
        <x:v>2026-07-09</x:v>
      </x:c>
      <x:c r="C402" t="str">
        <x:v>Rahul Mehta</x:v>
      </x:c>
      <x:c r="D402" t="str">
        <x:v>u2927</x:v>
      </x:c>
      <x:c r="E402" t="str">
        <x:v>Referral</x:v>
      </x:c>
      <x:c r="F402" t="str">
        <x:v>Bangalore</x:v>
      </x:c>
      <x:c r="G402" t="str">
        <x:v>Weaving</x:v>
      </x:c>
      <x:c r="H402" t="n">
        <x:v>12</x:v>
      </x:c>
      <x:c r="I402" t="n">
        <x:v>1500</x:v>
      </x:c>
      <x:c r="J402" t="str">
        <x:v>Completed</x:v>
      </x:c>
      <x:c r="K402" t="n">
        <x:f>H402*I402</x:f>
        <x:v>18000</x:v>
      </x:c>
      <x:c r="L402" s="16" t="n">
        <x:f>IF(J402="Completed",K402*0.80,0)</x:f>
        <x:v>14400</x:v>
      </x:c>
      <x:c r="M402" t="n">
        <x:v>4.3</x:v>
      </x:c>
      <x:c r="N402" t="str">
        <x:v>No</x:v>
      </x:c>
      <x:c r="O402" t="str">
        <x:v>Revenue / Enterprise Team</x:v>
      </x:c>
    </x:row>
    <x:row r="403">
      <x:c r="A403" t="str">
        <x:v>CRB5401</x:v>
      </x:c>
      <x:c r="B403" t="str">
        <x:v>2026-07-09</x:v>
      </x:c>
      <x:c r="C403" t="str">
        <x:v>Priya Sharma</x:v>
      </x:c>
      <x:c r="D403" t="str">
        <x:v>u2929</x:v>
      </x:c>
      <x:c r="E403" t="str">
        <x:v>Google Search</x:v>
      </x:c>
      <x:c r="F403" t="str">
        <x:v>Jaipur</x:v>
      </x:c>
      <x:c r="G403" t="str">
        <x:v>Blue Pottery</x:v>
      </x:c>
      <x:c r="H403" t="n">
        <x:v>10</x:v>
      </x:c>
      <x:c r="I403" t="n">
        <x:v>3500</x:v>
      </x:c>
      <x:c r="J403" t="str">
        <x:v>Completed</x:v>
      </x:c>
      <x:c r="K403" t="n">
        <x:f>H403*I403</x:f>
        <x:v>35000</x:v>
      </x:c>
      <x:c r="L403" s="16" t="n">
        <x:f>IF(J403="Completed",K403*0.80,0)</x:f>
        <x:v>28000</x:v>
      </x:c>
      <x:c r="M403" t="n">
        <x:v>4.8</x:v>
      </x:c>
      <x:c r="N403" t="str">
        <x:v>No</x:v>
      </x:c>
      <x:c r="O403" t="str">
        <x:v>Customer Success</x:v>
      </x:c>
    </x:row>
    <x:row r="404">
      <x:c r="A404" t="str">
        <x:v>CRB5402</x:v>
      </x:c>
      <x:c r="B404" t="str">
        <x:v>2026-07-09</x:v>
      </x:c>
      <x:c r="C404" t="str">
        <x:v>Rahul Mehta</x:v>
      </x:c>
      <x:c r="D404" t="str">
        <x:v>u2934</x:v>
      </x:c>
      <x:c r="E404" t="str">
        <x:v>Direct</x:v>
      </x:c>
      <x:c r="F404" t="str">
        <x:v>Jaipur</x:v>
      </x:c>
      <x:c r="G404" t="str">
        <x:v>Pottery</x:v>
      </x:c>
      <x:c r="H404" t="n">
        <x:v>6</x:v>
      </x:c>
      <x:c r="I404" t="n">
        <x:v>3000</x:v>
      </x:c>
      <x:c r="J404" t="str">
        <x:v>No-show</x:v>
      </x:c>
      <x:c r="K404" t="n">
        <x:f>H404*I404</x:f>
        <x:v>18000</x:v>
      </x:c>
      <x:c r="L404" s="16" t="n">
        <x:f>IF(J404="Completed",K404*0.80,0)</x:f>
        <x:v>0</x:v>
      </x:c>
      <x:c r="M404" t="str"/>
      <x:c r="N404" t="str">
        <x:v>No</x:v>
      </x:c>
      <x:c r="O404" t="str">
        <x:v>Traveler Success</x:v>
      </x:c>
    </x:row>
    <x:row r="405">
      <x:c r="A405" t="str">
        <x:v>CRB5403</x:v>
      </x:c>
      <x:c r="B405" t="str">
        <x:v>2026-07-09</x:v>
      </x:c>
      <x:c r="C405" t="str">
        <x:v>Rahul Mehta</x:v>
      </x:c>
      <x:c r="D405" t="str">
        <x:v>u2937</x:v>
      </x:c>
      <x:c r="E405" t="str">
        <x:v>Instagram</x:v>
      </x:c>
      <x:c r="F405" t="str">
        <x:v>Khurja</x:v>
      </x:c>
      <x:c r="G405" t="str">
        <x:v>Block Printing</x:v>
      </x:c>
      <x:c r="H405" t="n">
        <x:v>1</x:v>
      </x:c>
      <x:c r="I405" t="n">
        <x:v>2500</x:v>
      </x:c>
      <x:c r="J405" t="str">
        <x:v>Completed</x:v>
      </x:c>
      <x:c r="K405" t="n">
        <x:f>H405*I405</x:f>
        <x:v>2500</x:v>
      </x:c>
      <x:c r="L405" s="16" t="n">
        <x:f>IF(J405="Completed",K405*0.80,0)</x:f>
        <x:v>2000</x:v>
      </x:c>
      <x:c r="M405" t="n">
        <x:v>4</x:v>
      </x:c>
      <x:c r="N405" t="str">
        <x:v>No</x:v>
      </x:c>
      <x:c r="O405" t="str">
        <x:v>Customer Success</x:v>
      </x:c>
    </x:row>
    <x:row r="406">
      <x:c r="A406" t="str">
        <x:v>CRB5404</x:v>
      </x:c>
      <x:c r="B406" t="str">
        <x:v>2026-07-09</x:v>
      </x:c>
      <x:c r="C406" t="str">
        <x:v>Mark Thompson</x:v>
      </x:c>
      <x:c r="D406" t="str">
        <x:v>u2942</x:v>
      </x:c>
      <x:c r="E406" t="str">
        <x:v>Travel Blog</x:v>
      </x:c>
      <x:c r="F406" t="str">
        <x:v>Jaipur</x:v>
      </x:c>
      <x:c r="G406" t="str">
        <x:v>Warli Painting</x:v>
      </x:c>
      <x:c r="H406" t="n">
        <x:v>2</x:v>
      </x:c>
      <x:c r="I406" t="n">
        <x:v>1500</x:v>
      </x:c>
      <x:c r="J406" t="str">
        <x:v>Completed</x:v>
      </x:c>
      <x:c r="K406" t="n">
        <x:f>H406*I406</x:f>
        <x:v>3000</x:v>
      </x:c>
      <x:c r="L406" s="16" t="n">
        <x:f>IF(J406="Completed",K406*0.80,0)</x:f>
        <x:v>2400</x:v>
      </x:c>
      <x:c r="M406" t="n">
        <x:v>4.8</x:v>
      </x:c>
      <x:c r="N406" t="str">
        <x:v>No</x:v>
      </x:c>
      <x:c r="O406" t="str">
        <x:v>Customer Success</x:v>
      </x:c>
    </x:row>
    <x:row r="407">
      <x:c r="A407" t="str">
        <x:v>CRB5405</x:v>
      </x:c>
      <x:c r="B407" t="str">
        <x:v>2026-07-09</x:v>
      </x:c>
      <x:c r="C407" t="str">
        <x:v>Rahul Mehta</x:v>
      </x:c>
      <x:c r="D407" t="str">
        <x:v>u2944</x:v>
      </x:c>
      <x:c r="E407" t="str">
        <x:v>Direct</x:v>
      </x:c>
      <x:c r="F407" t="str">
        <x:v>Khurja</x:v>
      </x:c>
      <x:c r="G407" t="str">
        <x:v>Pottery</x:v>
      </x:c>
      <x:c r="H407" t="n">
        <x:v>6</x:v>
      </x:c>
      <x:c r="I407" t="n">
        <x:v>2500</x:v>
      </x:c>
      <x:c r="J407" t="str">
        <x:v>Completed</x:v>
      </x:c>
      <x:c r="K407" t="n">
        <x:f>H407*I407</x:f>
        <x:v>15000</x:v>
      </x:c>
      <x:c r="L407" s="16" t="n">
        <x:f>IF(J407="Completed",K407*0.80,0)</x:f>
        <x:v>12000</x:v>
      </x:c>
      <x:c r="M407" t="n">
        <x:v>4.8</x:v>
      </x:c>
      <x:c r="N407" t="str">
        <x:v>Yes</x:v>
      </x:c>
      <x:c r="O407" t="str">
        <x:v>Revenue / Enterprise Team</x:v>
      </x:c>
    </x:row>
    <x:row r="408">
      <x:c r="A408" t="str">
        <x:v>CRB5406</x:v>
      </x:c>
      <x:c r="B408" t="str">
        <x:v>2026-07-09</x:v>
      </x:c>
      <x:c r="C408" t="str">
        <x:v>Ananya Reddy</x:v>
      </x:c>
      <x:c r="D408" t="str">
        <x:v>u2946</x:v>
      </x:c>
      <x:c r="E408" t="str">
        <x:v>Google Search</x:v>
      </x:c>
      <x:c r="F408" t="str">
        <x:v>Varanasi</x:v>
      </x:c>
      <x:c r="G408" t="str">
        <x:v>Pottery</x:v>
      </x:c>
      <x:c r="H408" t="n">
        <x:v>3</x:v>
      </x:c>
      <x:c r="I408" t="n">
        <x:v>3500</x:v>
      </x:c>
      <x:c r="J408" t="str">
        <x:v>Cancelled</x:v>
      </x:c>
      <x:c r="K408" t="n">
        <x:f>H408*I408</x:f>
        <x:v>10500</x:v>
      </x:c>
      <x:c r="L408" s="16" t="n">
        <x:f>IF(J408="Completed",K408*0.80,0)</x:f>
        <x:v>0</x:v>
      </x:c>
      <x:c r="M408" t="str"/>
      <x:c r="N408" t="str">
        <x:v>No</x:v>
      </x:c>
      <x:c r="O408" t="str">
        <x:v>Traveler Success</x:v>
      </x:c>
    </x:row>
    <x:row r="409">
      <x:c r="A409" t="str">
        <x:v>CRB5407</x:v>
      </x:c>
      <x:c r="B409" t="str">
        <x:v>2026-07-09</x:v>
      </x:c>
      <x:c r="C409" t="str">
        <x:v>Sofia Martinez</x:v>
      </x:c>
      <x:c r="D409" t="str">
        <x:v>u2955</x:v>
      </x:c>
      <x:c r="E409" t="str">
        <x:v>Google Search</x:v>
      </x:c>
      <x:c r="F409" t="str">
        <x:v>Khurja</x:v>
      </x:c>
      <x:c r="G409" t="str">
        <x:v>Blue Pottery</x:v>
      </x:c>
      <x:c r="H409" t="n">
        <x:v>2</x:v>
      </x:c>
      <x:c r="I409" t="n">
        <x:v>2500</x:v>
      </x:c>
      <x:c r="J409" t="str">
        <x:v>Completed</x:v>
      </x:c>
      <x:c r="K409" t="n">
        <x:f>H409*I409</x:f>
        <x:v>5000</x:v>
      </x:c>
      <x:c r="L409" s="16" t="n">
        <x:f>IF(J409="Completed",K409*0.80,0)</x:f>
        <x:v>4000</x:v>
      </x:c>
      <x:c r="M409" t="n">
        <x:v>4.6</x:v>
      </x:c>
      <x:c r="N409" t="str">
        <x:v>No</x:v>
      </x:c>
      <x:c r="O409" t="str">
        <x:v>Revenue / Enterprise Team</x:v>
      </x:c>
    </x:row>
    <x:row r="410">
      <x:c r="A410" t="str">
        <x:v>CRB5408</x:v>
      </x:c>
      <x:c r="B410" t="str">
        <x:v>2026-07-09</x:v>
      </x:c>
      <x:c r="C410" t="str">
        <x:v>Sofia Martinez</x:v>
      </x:c>
      <x:c r="D410" t="str">
        <x:v>u2959</x:v>
      </x:c>
      <x:c r="E410" t="str">
        <x:v>Direct</x:v>
      </x:c>
      <x:c r="F410" t="str">
        <x:v>Khurja</x:v>
      </x:c>
      <x:c r="G410" t="str">
        <x:v>Blue Pottery</x:v>
      </x:c>
      <x:c r="H410" t="n">
        <x:v>6</x:v>
      </x:c>
      <x:c r="I410" t="n">
        <x:v>1800</x:v>
      </x:c>
      <x:c r="J410" t="str">
        <x:v>Completed</x:v>
      </x:c>
      <x:c r="K410" t="n">
        <x:f>H410*I410</x:f>
        <x:v>10800</x:v>
      </x:c>
      <x:c r="L410" s="16" t="n">
        <x:f>IF(J410="Completed",K410*0.80,0)</x:f>
        <x:v>8640</x:v>
      </x:c>
      <x:c r="M410" t="n">
        <x:v>4.8</x:v>
      </x:c>
      <x:c r="N410" t="str">
        <x:v>No</x:v>
      </x:c>
      <x:c r="O410" t="str">
        <x:v>Traveler Success</x:v>
      </x:c>
    </x:row>
    <x:row r="411">
      <x:c r="A411" t="str">
        <x:v>CRB5409</x:v>
      </x:c>
      <x:c r="B411" t="str">
        <x:v>2026-07-09</x:v>
      </x:c>
      <x:c r="C411" t="str">
        <x:v>Mark Thompson</x:v>
      </x:c>
      <x:c r="D411" t="str">
        <x:v>u2961</x:v>
      </x:c>
      <x:c r="E411" t="str">
        <x:v>Referral</x:v>
      </x:c>
      <x:c r="F411" t="str">
        <x:v>Udaipur</x:v>
      </x:c>
      <x:c r="G411" t="str">
        <x:v>Weaving</x:v>
      </x:c>
      <x:c r="H411" t="n">
        <x:v>12</x:v>
      </x:c>
      <x:c r="I411" t="n">
        <x:v>1800</x:v>
      </x:c>
      <x:c r="J411" t="str">
        <x:v>Completed</x:v>
      </x:c>
      <x:c r="K411" t="n">
        <x:f>H411*I411</x:f>
        <x:v>21600</x:v>
      </x:c>
      <x:c r="L411" s="16" t="n">
        <x:f>IF(J411="Completed",K411*0.80,0)</x:f>
        <x:v>17280</x:v>
      </x:c>
      <x:c r="M411" t="n">
        <x:v>4.3</x:v>
      </x:c>
      <x:c r="N411" t="str">
        <x:v>Yes</x:v>
      </x:c>
      <x:c r="O411" t="str">
        <x:v>Revenue / Enterprise Team</x:v>
      </x:c>
    </x:row>
    <x:row r="412">
      <x:c r="A412" t="str">
        <x:v>CRB5410</x:v>
      </x:c>
      <x:c r="B412" t="str">
        <x:v>2026-07-09</x:v>
      </x:c>
      <x:c r="C412" t="str">
        <x:v>Ananya Reddy</x:v>
      </x:c>
      <x:c r="D412" t="str">
        <x:v>u2973</x:v>
      </x:c>
      <x:c r="E412" t="str">
        <x:v>Referral</x:v>
      </x:c>
      <x:c r="F412" t="str">
        <x:v>Udaipur</x:v>
      </x:c>
      <x:c r="G412" t="str">
        <x:v>Weaving</x:v>
      </x:c>
      <x:c r="H412" t="n">
        <x:v>2</x:v>
      </x:c>
      <x:c r="I412" t="n">
        <x:v>2000</x:v>
      </x:c>
      <x:c r="J412" t="str">
        <x:v>Completed</x:v>
      </x:c>
      <x:c r="K412" t="n">
        <x:f>H412*I412</x:f>
        <x:v>4000</x:v>
      </x:c>
      <x:c r="L412" s="16" t="n">
        <x:f>IF(J412="Completed",K412*0.80,0)</x:f>
        <x:v>3200</x:v>
      </x:c>
      <x:c r="M412" t="n">
        <x:v>4.8</x:v>
      </x:c>
      <x:c r="N412" t="str">
        <x:v>No</x:v>
      </x:c>
      <x:c r="O412" t="str">
        <x:v>Customer Success</x:v>
      </x:c>
    </x:row>
    <x:row r="413">
      <x:c r="A413" t="str">
        <x:v>CRB5411</x:v>
      </x:c>
      <x:c r="B413" t="str">
        <x:v>2026-07-09</x:v>
      </x:c>
      <x:c r="C413" t="str">
        <x:v>Sofia Martinez</x:v>
      </x:c>
      <x:c r="D413" t="str">
        <x:v>u2979</x:v>
      </x:c>
      <x:c r="E413" t="str">
        <x:v>Travel Blog</x:v>
      </x:c>
      <x:c r="F413" t="str">
        <x:v>Bangalore</x:v>
      </x:c>
      <x:c r="G413" t="str">
        <x:v>Block Printing</x:v>
      </x:c>
      <x:c r="H413" t="n">
        <x:v>10</x:v>
      </x:c>
      <x:c r="I413" t="n">
        <x:v>3500</x:v>
      </x:c>
      <x:c r="J413" t="str">
        <x:v>Completed</x:v>
      </x:c>
      <x:c r="K413" t="n">
        <x:f>H413*I413</x:f>
        <x:v>35000</x:v>
      </x:c>
      <x:c r="L413" s="16" t="n">
        <x:f>IF(J413="Completed",K413*0.80,0)</x:f>
        <x:v>28000</x:v>
      </x:c>
      <x:c r="M413" t="n">
        <x:v>4.4</x:v>
      </x:c>
      <x:c r="N413" t="str">
        <x:v>No</x:v>
      </x:c>
      <x:c r="O413" t="str">
        <x:v>Customer Success</x:v>
      </x:c>
    </x:row>
    <x:row r="414">
      <x:c r="A414" t="str">
        <x:v>CRB5412</x:v>
      </x:c>
      <x:c r="B414" t="str">
        <x:v>2026-07-09</x:v>
      </x:c>
      <x:c r="C414" t="str">
        <x:v>Ananya Reddy</x:v>
      </x:c>
      <x:c r="D414" t="str">
        <x:v>u2984</x:v>
      </x:c>
      <x:c r="E414" t="str">
        <x:v>Google Search</x:v>
      </x:c>
      <x:c r="F414" t="str">
        <x:v>Jaipur</x:v>
      </x:c>
      <x:c r="G414" t="str">
        <x:v>Weaving</x:v>
      </x:c>
      <x:c r="H414" t="n">
        <x:v>12</x:v>
      </x:c>
      <x:c r="I414" t="n">
        <x:v>2200</x:v>
      </x:c>
      <x:c r="J414" t="str">
        <x:v>Completed</x:v>
      </x:c>
      <x:c r="K414" t="n">
        <x:f>H414*I414</x:f>
        <x:v>26400</x:v>
      </x:c>
      <x:c r="L414" s="16" t="n">
        <x:f>IF(J414="Completed",K414*0.80,0)</x:f>
        <x:v>21120</x:v>
      </x:c>
      <x:c r="M414" t="n">
        <x:v>4</x:v>
      </x:c>
      <x:c r="N414" t="str">
        <x:v>No</x:v>
      </x:c>
      <x:c r="O414" t="str">
        <x:v>Revenue / Enterprise Team</x:v>
      </x:c>
    </x:row>
    <x:row r="415">
      <x:c r="A415" t="str">
        <x:v>CRB5413</x:v>
      </x:c>
      <x:c r="B415" t="str">
        <x:v>2026-07-09</x:v>
      </x:c>
      <x:c r="C415" t="str">
        <x:v>Ananya Reddy</x:v>
      </x:c>
      <x:c r="D415" t="str">
        <x:v>u2990</x:v>
      </x:c>
      <x:c r="E415" t="str">
        <x:v>Google Search</x:v>
      </x:c>
      <x:c r="F415" t="str">
        <x:v>Varanasi</x:v>
      </x:c>
      <x:c r="G415" t="str">
        <x:v>Warli Painting</x:v>
      </x:c>
      <x:c r="H415" t="n">
        <x:v>1</x:v>
      </x:c>
      <x:c r="I415" t="n">
        <x:v>2200</x:v>
      </x:c>
      <x:c r="J415" t="str">
        <x:v>Completed</x:v>
      </x:c>
      <x:c r="K415" t="n">
        <x:f>H415*I415</x:f>
        <x:v>2200</x:v>
      </x:c>
      <x:c r="L415" s="16" t="n">
        <x:f>IF(J415="Completed",K415*0.80,0)</x:f>
        <x:v>1760</x:v>
      </x:c>
      <x:c r="M415" t="n">
        <x:v>4.3</x:v>
      </x:c>
      <x:c r="N415" t="str">
        <x:v>Yes</x:v>
      </x:c>
      <x:c r="O415" t="str">
        <x:v>Revenue / Enterprise Team</x:v>
      </x:c>
    </x:row>
    <x:row r="416">
      <x:c r="A416" t="str">
        <x:v>CRB5414</x:v>
      </x:c>
      <x:c r="B416" t="str">
        <x:v>2026-07-09</x:v>
      </x:c>
      <x:c r="C416" t="str">
        <x:v>Sofia Martinez</x:v>
      </x:c>
      <x:c r="D416" t="str">
        <x:v>u3002</x:v>
      </x:c>
      <x:c r="E416" t="str">
        <x:v>Travel Blog</x:v>
      </x:c>
      <x:c r="F416" t="str">
        <x:v>Udaipur</x:v>
      </x:c>
      <x:c r="G416" t="str">
        <x:v>Blue Pottery</x:v>
      </x:c>
      <x:c r="H416" t="n">
        <x:v>2</x:v>
      </x:c>
      <x:c r="I416" t="n">
        <x:v>2000</x:v>
      </x:c>
      <x:c r="J416" t="str">
        <x:v>Completed</x:v>
      </x:c>
      <x:c r="K416" t="n">
        <x:f>H416*I416</x:f>
        <x:v>4000</x:v>
      </x:c>
      <x:c r="L416" s="16" t="n">
        <x:f>IF(J416="Completed",K416*0.80,0)</x:f>
        <x:v>3200</x:v>
      </x:c>
      <x:c r="M416" t="n">
        <x:v>4.9</x:v>
      </x:c>
      <x:c r="N416" t="str">
        <x:v>Yes</x:v>
      </x:c>
      <x:c r="O416" t="str">
        <x:v>Traveler Success</x:v>
      </x:c>
    </x:row>
    <x:row r="417">
      <x:c r="A417" t="str">
        <x:v>CRB5415</x:v>
      </x:c>
      <x:c r="B417" t="str">
        <x:v>2026-07-09</x:v>
      </x:c>
      <x:c r="C417" t="str">
        <x:v>Rahul Mehta</x:v>
      </x:c>
      <x:c r="D417" t="str">
        <x:v>u3005</x:v>
      </x:c>
      <x:c r="E417" t="str">
        <x:v>Instagram</x:v>
      </x:c>
      <x:c r="F417" t="str">
        <x:v>Bangalore</x:v>
      </x:c>
      <x:c r="G417" t="str">
        <x:v>Block Printing</x:v>
      </x:c>
      <x:c r="H417" t="n">
        <x:v>2</x:v>
      </x:c>
      <x:c r="I417" t="n">
        <x:v>1500</x:v>
      </x:c>
      <x:c r="J417" t="str">
        <x:v>No-show</x:v>
      </x:c>
      <x:c r="K417" t="n">
        <x:f>H417*I417</x:f>
        <x:v>3000</x:v>
      </x:c>
      <x:c r="L417" s="16" t="n">
        <x:f>IF(J417="Completed",K417*0.80,0)</x:f>
        <x:v>0</x:v>
      </x:c>
      <x:c r="M417" t="str"/>
      <x:c r="N417" t="str">
        <x:v>Yes</x:v>
      </x:c>
      <x:c r="O417" t="str">
        <x:v>Traveler Success</x:v>
      </x:c>
    </x:row>
    <x:row r="418">
      <x:c r="A418" t="str">
        <x:v>CRB5416</x:v>
      </x:c>
      <x:c r="B418" t="str">
        <x:v>2026-07-09</x:v>
      </x:c>
      <x:c r="C418" t="str">
        <x:v>Ananya Reddy</x:v>
      </x:c>
      <x:c r="D418" t="str">
        <x:v>u3007</x:v>
      </x:c>
      <x:c r="E418" t="str">
        <x:v>Direct</x:v>
      </x:c>
      <x:c r="F418" t="str">
        <x:v>Varanasi</x:v>
      </x:c>
      <x:c r="G418" t="str">
        <x:v>Block Printing</x:v>
      </x:c>
      <x:c r="H418" t="n">
        <x:v>2</x:v>
      </x:c>
      <x:c r="I418" t="n">
        <x:v>2500</x:v>
      </x:c>
      <x:c r="J418" t="str">
        <x:v>Completed</x:v>
      </x:c>
      <x:c r="K418" t="n">
        <x:f>H418*I418</x:f>
        <x:v>5000</x:v>
      </x:c>
      <x:c r="L418" s="16" t="n">
        <x:f>IF(J418="Completed",K418*0.80,0)</x:f>
        <x:v>4000</x:v>
      </x:c>
      <x:c r="M418" t="n">
        <x:v>4.8</x:v>
      </x:c>
      <x:c r="N418" t="str">
        <x:v>No</x:v>
      </x:c>
      <x:c r="O418" t="str">
        <x:v>Revenue / Enterprise Team</x:v>
      </x:c>
    </x:row>
    <x:row r="419">
      <x:c r="A419" t="str">
        <x:v>CRB5417</x:v>
      </x:c>
      <x:c r="B419" t="str">
        <x:v>2026-07-09</x:v>
      </x:c>
      <x:c r="C419" t="str">
        <x:v>Sofia Martinez</x:v>
      </x:c>
      <x:c r="D419" t="str">
        <x:v>u3016</x:v>
      </x:c>
      <x:c r="E419" t="str">
        <x:v>Travel Blog</x:v>
      </x:c>
      <x:c r="F419" t="str">
        <x:v>Bangalore</x:v>
      </x:c>
      <x:c r="G419" t="str">
        <x:v>Block Printing</x:v>
      </x:c>
      <x:c r="H419" t="n">
        <x:v>10</x:v>
      </x:c>
      <x:c r="I419" t="n">
        <x:v>3500</x:v>
      </x:c>
      <x:c r="J419" t="str">
        <x:v>Completed</x:v>
      </x:c>
      <x:c r="K419" t="n">
        <x:f>H419*I419</x:f>
        <x:v>35000</x:v>
      </x:c>
      <x:c r="L419" s="16" t="n">
        <x:f>IF(J419="Completed",K419*0.80,0)</x:f>
        <x:v>28000</x:v>
      </x:c>
      <x:c r="M419" t="n">
        <x:v>4.2</x:v>
      </x:c>
      <x:c r="N419" t="str">
        <x:v>No</x:v>
      </x:c>
      <x:c r="O419" t="str">
        <x:v>Customer Success</x:v>
      </x:c>
    </x:row>
    <x:row r="420">
      <x:c r="A420" t="str">
        <x:v>CRB5418</x:v>
      </x:c>
      <x:c r="B420" t="str">
        <x:v>2026-07-09</x:v>
      </x:c>
      <x:c r="C420" t="str">
        <x:v>Rahul Mehta</x:v>
      </x:c>
      <x:c r="D420" t="str">
        <x:v>u3025</x:v>
      </x:c>
      <x:c r="E420" t="str">
        <x:v>Instagram</x:v>
      </x:c>
      <x:c r="F420" t="str">
        <x:v>Khurja</x:v>
      </x:c>
      <x:c r="G420" t="str">
        <x:v>Block Printing</x:v>
      </x:c>
      <x:c r="H420" t="n">
        <x:v>6</x:v>
      </x:c>
      <x:c r="I420" t="n">
        <x:v>1500</x:v>
      </x:c>
      <x:c r="J420" t="str">
        <x:v>Completed</x:v>
      </x:c>
      <x:c r="K420" t="n">
        <x:f>H420*I420</x:f>
        <x:v>9000</x:v>
      </x:c>
      <x:c r="L420" s="16" t="n">
        <x:f>IF(J420="Completed",K420*0.80,0)</x:f>
        <x:v>7200</x:v>
      </x:c>
      <x:c r="M420" t="n">
        <x:v>4.5</x:v>
      </x:c>
      <x:c r="N420" t="str">
        <x:v>Yes</x:v>
      </x:c>
      <x:c r="O420" t="str">
        <x:v>Traveler Success</x:v>
      </x:c>
    </x:row>
    <x:row r="421">
      <x:c r="A421" t="str">
        <x:v>CRB5419</x:v>
      </x:c>
      <x:c r="B421" t="str">
        <x:v>2026-07-09</x:v>
      </x:c>
      <x:c r="C421" t="str">
        <x:v>Ananya Reddy</x:v>
      </x:c>
      <x:c r="D421" t="str">
        <x:v>u3026</x:v>
      </x:c>
      <x:c r="E421" t="str">
        <x:v>Travel Blog</x:v>
      </x:c>
      <x:c r="F421" t="str">
        <x:v>Khurja</x:v>
      </x:c>
      <x:c r="G421" t="str">
        <x:v>Block Printing</x:v>
      </x:c>
      <x:c r="H421" t="n">
        <x:v>6</x:v>
      </x:c>
      <x:c r="I421" t="n">
        <x:v>1800</x:v>
      </x:c>
      <x:c r="J421" t="str">
        <x:v>No-show</x:v>
      </x:c>
      <x:c r="K421" t="n">
        <x:f>H421*I421</x:f>
        <x:v>10800</x:v>
      </x:c>
      <x:c r="L421" s="16" t="n">
        <x:f>IF(J421="Completed",K421*0.80,0)</x:f>
        <x:v>0</x:v>
      </x:c>
      <x:c r="M421" t="str"/>
      <x:c r="N421" t="str">
        <x:v>No</x:v>
      </x:c>
      <x:c r="O421" t="str">
        <x:v>Customer Success</x:v>
      </x:c>
    </x:row>
    <x:row r="422">
      <x:c r="A422" t="str">
        <x:v>CRB5420</x:v>
      </x:c>
      <x:c r="B422" t="str">
        <x:v>2026-07-09</x:v>
      </x:c>
      <x:c r="C422" t="str">
        <x:v>Sofia Martinez</x:v>
      </x:c>
      <x:c r="D422" t="str">
        <x:v>u3036</x:v>
      </x:c>
      <x:c r="E422" t="str">
        <x:v>Google Search</x:v>
      </x:c>
      <x:c r="F422" t="str">
        <x:v>Jaipur</x:v>
      </x:c>
      <x:c r="G422" t="str">
        <x:v>Warli Painting</x:v>
      </x:c>
      <x:c r="H422" t="n">
        <x:v>1</x:v>
      </x:c>
      <x:c r="I422" t="n">
        <x:v>2200</x:v>
      </x:c>
      <x:c r="J422" t="str">
        <x:v>Completed</x:v>
      </x:c>
      <x:c r="K422" t="n">
        <x:f>H422*I422</x:f>
        <x:v>2200</x:v>
      </x:c>
      <x:c r="L422" s="16" t="n">
        <x:f>IF(J422="Completed",K422*0.80,0)</x:f>
        <x:v>1760</x:v>
      </x:c>
      <x:c r="M422" t="n">
        <x:v>3.8</x:v>
      </x:c>
      <x:c r="N422" t="str">
        <x:v>No</x:v>
      </x:c>
      <x:c r="O422" t="str">
        <x:v>Traveler Success</x:v>
      </x:c>
    </x:row>
    <x:row r="423">
      <x:c r="A423" t="str">
        <x:v>CRB5421</x:v>
      </x:c>
      <x:c r="B423" t="str">
        <x:v>2026-07-09</x:v>
      </x:c>
      <x:c r="C423" t="str">
        <x:v>Sofia Martinez</x:v>
      </x:c>
      <x:c r="D423" t="str">
        <x:v>u3039</x:v>
      </x:c>
      <x:c r="E423" t="str">
        <x:v>Direct</x:v>
      </x:c>
      <x:c r="F423" t="str">
        <x:v>Khurja</x:v>
      </x:c>
      <x:c r="G423" t="str">
        <x:v>Pottery</x:v>
      </x:c>
      <x:c r="H423" t="n">
        <x:v>2</x:v>
      </x:c>
      <x:c r="I423" t="n">
        <x:v>2000</x:v>
      </x:c>
      <x:c r="J423" t="str">
        <x:v>Completed</x:v>
      </x:c>
      <x:c r="K423" t="n">
        <x:f>H423*I423</x:f>
        <x:v>4000</x:v>
      </x:c>
      <x:c r="L423" s="16" t="n">
        <x:f>IF(J423="Completed",K423*0.80,0)</x:f>
        <x:v>3200</x:v>
      </x:c>
      <x:c r="M423" t="n">
        <x:v>4</x:v>
      </x:c>
      <x:c r="N423" t="str">
        <x:v>No</x:v>
      </x:c>
      <x:c r="O423" t="str">
        <x:v>Revenue / Enterprise Team</x:v>
      </x:c>
    </x:row>
    <x:row r="424">
      <x:c r="A424" t="str">
        <x:v>CRB5422</x:v>
      </x:c>
      <x:c r="B424" t="str">
        <x:v>2026-07-09</x:v>
      </x:c>
      <x:c r="C424" t="str">
        <x:v>Priya Sharma</x:v>
      </x:c>
      <x:c r="D424" t="str">
        <x:v>u3042</x:v>
      </x:c>
      <x:c r="E424" t="str">
        <x:v>Travel Blog</x:v>
      </x:c>
      <x:c r="F424" t="str">
        <x:v>Jaipur</x:v>
      </x:c>
      <x:c r="G424" t="str">
        <x:v>Blue Pottery</x:v>
      </x:c>
      <x:c r="H424" t="n">
        <x:v>2</x:v>
      </x:c>
      <x:c r="I424" t="n">
        <x:v>1800</x:v>
      </x:c>
      <x:c r="J424" t="str">
        <x:v>Completed</x:v>
      </x:c>
      <x:c r="K424" t="n">
        <x:f>H424*I424</x:f>
        <x:v>3600</x:v>
      </x:c>
      <x:c r="L424" s="16" t="n">
        <x:f>IF(J424="Completed",K424*0.80,0)</x:f>
        <x:v>2880</x:v>
      </x:c>
      <x:c r="M424" t="n">
        <x:v>3.9</x:v>
      </x:c>
      <x:c r="N424" t="str">
        <x:v>No</x:v>
      </x:c>
      <x:c r="O424" t="str">
        <x:v>Revenue / Enterprise Team</x:v>
      </x:c>
    </x:row>
    <x:row r="425">
      <x:c r="A425" t="str">
        <x:v>CRB5423</x:v>
      </x:c>
      <x:c r="B425" t="str">
        <x:v>2026-07-09</x:v>
      </x:c>
      <x:c r="C425" t="str">
        <x:v>Priya Sharma</x:v>
      </x:c>
      <x:c r="D425" t="str">
        <x:v>u3044</x:v>
      </x:c>
      <x:c r="E425" t="str">
        <x:v>Referral</x:v>
      </x:c>
      <x:c r="F425" t="str">
        <x:v>Varanasi</x:v>
      </x:c>
      <x:c r="G425" t="str">
        <x:v>Block Printing</x:v>
      </x:c>
      <x:c r="H425" t="n">
        <x:v>10</x:v>
      </x:c>
      <x:c r="I425" t="n">
        <x:v>1500</x:v>
      </x:c>
      <x:c r="J425" t="str">
        <x:v>Completed</x:v>
      </x:c>
      <x:c r="K425" t="n">
        <x:f>H425*I425</x:f>
        <x:v>15000</x:v>
      </x:c>
      <x:c r="L425" s="16" t="n">
        <x:f>IF(J425="Completed",K425*0.80,0)</x:f>
        <x:v>12000</x:v>
      </x:c>
      <x:c r="M425" t="n">
        <x:v>4.7</x:v>
      </x:c>
      <x:c r="N425" t="str">
        <x:v>No</x:v>
      </x:c>
      <x:c r="O425" t="str">
        <x:v>Revenue / Enterprise Team</x:v>
      </x:c>
    </x:row>
    <x:row r="426">
      <x:c r="A426" t="str">
        <x:v>CRB5424</x:v>
      </x:c>
      <x:c r="B426" t="str">
        <x:v>2026-07-09</x:v>
      </x:c>
      <x:c r="C426" t="str">
        <x:v>Sofia Martinez</x:v>
      </x:c>
      <x:c r="D426" t="str">
        <x:v>u3055</x:v>
      </x:c>
      <x:c r="E426" t="str">
        <x:v>Travel Blog</x:v>
      </x:c>
      <x:c r="F426" t="str">
        <x:v>Khurja</x:v>
      </x:c>
      <x:c r="G426" t="str">
        <x:v>Warli Painting</x:v>
      </x:c>
      <x:c r="H426" t="n">
        <x:v>3</x:v>
      </x:c>
      <x:c r="I426" t="n">
        <x:v>3500</x:v>
      </x:c>
      <x:c r="J426" t="str">
        <x:v>Completed</x:v>
      </x:c>
      <x:c r="K426" t="n">
        <x:f>H426*I426</x:f>
        <x:v>10500</x:v>
      </x:c>
      <x:c r="L426" s="16" t="n">
        <x:f>IF(J426="Completed",K426*0.80,0)</x:f>
        <x:v>8400</x:v>
      </x:c>
      <x:c r="M426" t="n">
        <x:v>4.2</x:v>
      </x:c>
      <x:c r="N426" t="str">
        <x:v>No</x:v>
      </x:c>
      <x:c r="O426" t="str">
        <x:v>Customer Success</x:v>
      </x:c>
    </x:row>
    <x:row r="427">
      <x:c r="A427" t="str">
        <x:v>CRB5425</x:v>
      </x:c>
      <x:c r="B427" t="str">
        <x:v>2026-07-09</x:v>
      </x:c>
      <x:c r="C427" t="str">
        <x:v>Rahul Mehta</x:v>
      </x:c>
      <x:c r="D427" t="str">
        <x:v>u3056</x:v>
      </x:c>
      <x:c r="E427" t="str">
        <x:v>Referral</x:v>
      </x:c>
      <x:c r="F427" t="str">
        <x:v>Khurja</x:v>
      </x:c>
      <x:c r="G427" t="str">
        <x:v>Blue Pottery</x:v>
      </x:c>
      <x:c r="H427" t="n">
        <x:v>4</x:v>
      </x:c>
      <x:c r="I427" t="n">
        <x:v>3500</x:v>
      </x:c>
      <x:c r="J427" t="str">
        <x:v>No-show</x:v>
      </x:c>
      <x:c r="K427" t="n">
        <x:f>H427*I427</x:f>
        <x:v>14000</x:v>
      </x:c>
      <x:c r="L427" s="16" t="n">
        <x:f>IF(J427="Completed",K427*0.80,0)</x:f>
        <x:v>0</x:v>
      </x:c>
      <x:c r="M427" t="str"/>
      <x:c r="N427" t="str">
        <x:v>No</x:v>
      </x:c>
      <x:c r="O427" t="str">
        <x:v>Traveler Success</x:v>
      </x:c>
    </x:row>
    <x:row r="428">
      <x:c r="A428" t="str">
        <x:v>CRB5426</x:v>
      </x:c>
      <x:c r="B428" t="str">
        <x:v>2026-07-09</x:v>
      </x:c>
      <x:c r="C428" t="str">
        <x:v>Priya Sharma</x:v>
      </x:c>
      <x:c r="D428" t="str">
        <x:v>u3057</x:v>
      </x:c>
      <x:c r="E428" t="str">
        <x:v>Google Search</x:v>
      </x:c>
      <x:c r="F428" t="str">
        <x:v>Khurja</x:v>
      </x:c>
      <x:c r="G428" t="str">
        <x:v>Weaving</x:v>
      </x:c>
      <x:c r="H428" t="n">
        <x:v>10</x:v>
      </x:c>
      <x:c r="I428" t="n">
        <x:v>1800</x:v>
      </x:c>
      <x:c r="J428" t="str">
        <x:v>Cancelled</x:v>
      </x:c>
      <x:c r="K428" t="n">
        <x:f>H428*I428</x:f>
        <x:v>18000</x:v>
      </x:c>
      <x:c r="L428" s="16" t="n">
        <x:f>IF(J428="Completed",K428*0.80,0)</x:f>
        <x:v>0</x:v>
      </x:c>
      <x:c r="M428" t="str"/>
      <x:c r="N428" t="str">
        <x:v>No</x:v>
      </x:c>
      <x:c r="O428" t="str">
        <x:v>Customer Success</x:v>
      </x:c>
    </x:row>
    <x:row r="429">
      <x:c r="A429" t="str">
        <x:v>CRB5427</x:v>
      </x:c>
      <x:c r="B429" t="str">
        <x:v>2026-07-09</x:v>
      </x:c>
      <x:c r="C429" t="str">
        <x:v>Mark Thompson</x:v>
      </x:c>
      <x:c r="D429" t="str">
        <x:v>u3059</x:v>
      </x:c>
      <x:c r="E429" t="str">
        <x:v>Google Search</x:v>
      </x:c>
      <x:c r="F429" t="str">
        <x:v>Udaipur</x:v>
      </x:c>
      <x:c r="G429" t="str">
        <x:v>Warli Painting</x:v>
      </x:c>
      <x:c r="H429" t="n">
        <x:v>12</x:v>
      </x:c>
      <x:c r="I429" t="n">
        <x:v>1800</x:v>
      </x:c>
      <x:c r="J429" t="str">
        <x:v>Completed</x:v>
      </x:c>
      <x:c r="K429" t="n">
        <x:f>H429*I429</x:f>
        <x:v>21600</x:v>
      </x:c>
      <x:c r="L429" s="16" t="n">
        <x:f>IF(J429="Completed",K429*0.80,0)</x:f>
        <x:v>17280</x:v>
      </x:c>
      <x:c r="M429" t="n">
        <x:v>4.9</x:v>
      </x:c>
      <x:c r="N429" t="str">
        <x:v>Yes</x:v>
      </x:c>
      <x:c r="O429" t="str">
        <x:v>Revenue / Enterprise Team</x:v>
      </x:c>
    </x:row>
    <x:row r="430">
      <x:c r="A430" t="str">
        <x:v>CRB5428</x:v>
      </x:c>
      <x:c r="B430" t="str">
        <x:v>2026-07-09</x:v>
      </x:c>
      <x:c r="C430" t="str">
        <x:v>Sofia Martinez</x:v>
      </x:c>
      <x:c r="D430" t="str">
        <x:v>u3062</x:v>
      </x:c>
      <x:c r="E430" t="str">
        <x:v>Google Search</x:v>
      </x:c>
      <x:c r="F430" t="str">
        <x:v>Khurja</x:v>
      </x:c>
      <x:c r="G430" t="str">
        <x:v>Pottery</x:v>
      </x:c>
      <x:c r="H430" t="n">
        <x:v>6</x:v>
      </x:c>
      <x:c r="I430" t="n">
        <x:v>2500</x:v>
      </x:c>
      <x:c r="J430" t="str">
        <x:v>Cancelled</x:v>
      </x:c>
      <x:c r="K430" t="n">
        <x:f>H430*I430</x:f>
        <x:v>15000</x:v>
      </x:c>
      <x:c r="L430" s="16" t="n">
        <x:f>IF(J430="Completed",K430*0.80,0)</x:f>
        <x:v>0</x:v>
      </x:c>
      <x:c r="M430" t="str"/>
      <x:c r="N430" t="str">
        <x:v>No</x:v>
      </x:c>
      <x:c r="O430" t="str">
        <x:v>Customer Success</x:v>
      </x:c>
    </x:row>
    <x:row r="431">
      <x:c r="A431" t="str">
        <x:v>CRB5429</x:v>
      </x:c>
      <x:c r="B431" t="str">
        <x:v>2026-07-09</x:v>
      </x:c>
      <x:c r="C431" t="str">
        <x:v>Priya Sharma</x:v>
      </x:c>
      <x:c r="D431" t="str">
        <x:v>u3066</x:v>
      </x:c>
      <x:c r="E431" t="str">
        <x:v>Referral</x:v>
      </x:c>
      <x:c r="F431" t="str">
        <x:v>Khurja</x:v>
      </x:c>
      <x:c r="G431" t="str">
        <x:v>Block Printing</x:v>
      </x:c>
      <x:c r="H431" t="n">
        <x:v>1</x:v>
      </x:c>
      <x:c r="I431" t="n">
        <x:v>1800</x:v>
      </x:c>
      <x:c r="J431" t="str">
        <x:v>Completed</x:v>
      </x:c>
      <x:c r="K431" t="n">
        <x:f>H431*I431</x:f>
        <x:v>1800</x:v>
      </x:c>
      <x:c r="L431" s="16" t="n">
        <x:f>IF(J431="Completed",K431*0.80,0)</x:f>
        <x:v>1440</x:v>
      </x:c>
      <x:c r="M431" t="n">
        <x:v>4.4</x:v>
      </x:c>
      <x:c r="N431" t="str">
        <x:v>No</x:v>
      </x:c>
      <x:c r="O431" t="str">
        <x:v>Customer Success</x:v>
      </x:c>
    </x:row>
    <x:row r="432">
      <x:c r="A432" t="str">
        <x:v>CRB5430</x:v>
      </x:c>
      <x:c r="B432" t="str">
        <x:v>2026-07-09</x:v>
      </x:c>
      <x:c r="C432" t="str">
        <x:v>Mark Thompson</x:v>
      </x:c>
      <x:c r="D432" t="str">
        <x:v>u3067</x:v>
      </x:c>
      <x:c r="E432" t="str">
        <x:v>Direct</x:v>
      </x:c>
      <x:c r="F432" t="str">
        <x:v>Bangalore</x:v>
      </x:c>
      <x:c r="G432" t="str">
        <x:v>Pottery</x:v>
      </x:c>
      <x:c r="H432" t="n">
        <x:v>6</x:v>
      </x:c>
      <x:c r="I432" t="n">
        <x:v>2000</x:v>
      </x:c>
      <x:c r="J432" t="str">
        <x:v>No-show</x:v>
      </x:c>
      <x:c r="K432" t="n">
        <x:f>H432*I432</x:f>
        <x:v>12000</x:v>
      </x:c>
      <x:c r="L432" s="16" t="n">
        <x:f>IF(J432="Completed",K432*0.80,0)</x:f>
        <x:v>0</x:v>
      </x:c>
      <x:c r="M432" t="str"/>
      <x:c r="N432" t="str">
        <x:v>Yes</x:v>
      </x:c>
      <x:c r="O432" t="str">
        <x:v>Traveler Success</x:v>
      </x:c>
    </x:row>
    <x:row r="433">
      <x:c r="A433" t="str">
        <x:v>CRB5431</x:v>
      </x:c>
      <x:c r="B433" t="str">
        <x:v>2026-07-09</x:v>
      </x:c>
      <x:c r="C433" t="str">
        <x:v>Sofia Martinez</x:v>
      </x:c>
      <x:c r="D433" t="str">
        <x:v>u3073</x:v>
      </x:c>
      <x:c r="E433" t="str">
        <x:v>Instagram</x:v>
      </x:c>
      <x:c r="F433" t="str">
        <x:v>Udaipur</x:v>
      </x:c>
      <x:c r="G433" t="str">
        <x:v>Weaving</x:v>
      </x:c>
      <x:c r="H433" t="n">
        <x:v>4</x:v>
      </x:c>
      <x:c r="I433" t="n">
        <x:v>2000</x:v>
      </x:c>
      <x:c r="J433" t="str">
        <x:v>Completed</x:v>
      </x:c>
      <x:c r="K433" t="n">
        <x:f>H433*I433</x:f>
        <x:v>8000</x:v>
      </x:c>
      <x:c r="L433" s="16" t="n">
        <x:f>IF(J433="Completed",K433*0.80,0)</x:f>
        <x:v>6400</x:v>
      </x:c>
      <x:c r="M433" t="n">
        <x:v>3.8</x:v>
      </x:c>
      <x:c r="N433" t="str">
        <x:v>Yes</x:v>
      </x:c>
      <x:c r="O433" t="str">
        <x:v>Customer Success</x:v>
      </x:c>
    </x:row>
    <x:row r="434">
      <x:c r="A434" t="str">
        <x:v>CRB5432</x:v>
      </x:c>
      <x:c r="B434" t="str">
        <x:v>2026-07-09</x:v>
      </x:c>
      <x:c r="C434" t="str">
        <x:v>Mark Thompson</x:v>
      </x:c>
      <x:c r="D434" t="str">
        <x:v>u3075</x:v>
      </x:c>
      <x:c r="E434" t="str">
        <x:v>Instagram</x:v>
      </x:c>
      <x:c r="F434" t="str">
        <x:v>Bangalore</x:v>
      </x:c>
      <x:c r="G434" t="str">
        <x:v>Block Printing</x:v>
      </x:c>
      <x:c r="H434" t="n">
        <x:v>10</x:v>
      </x:c>
      <x:c r="I434" t="n">
        <x:v>1500</x:v>
      </x:c>
      <x:c r="J434" t="str">
        <x:v>Completed</x:v>
      </x:c>
      <x:c r="K434" t="n">
        <x:f>H434*I434</x:f>
        <x:v>15000</x:v>
      </x:c>
      <x:c r="L434" s="16" t="n">
        <x:f>IF(J434="Completed",K434*0.80,0)</x:f>
        <x:v>12000</x:v>
      </x:c>
      <x:c r="M434" t="n">
        <x:v>4.3</x:v>
      </x:c>
      <x:c r="N434" t="str">
        <x:v>No</x:v>
      </x:c>
      <x:c r="O434" t="str">
        <x:v>Customer Success</x:v>
      </x:c>
    </x:row>
    <x:row r="435">
      <x:c r="A435" t="str">
        <x:v>CRB5433</x:v>
      </x:c>
      <x:c r="B435" t="str">
        <x:v>2026-07-09</x:v>
      </x:c>
      <x:c r="C435" t="str">
        <x:v>Ananya Reddy</x:v>
      </x:c>
      <x:c r="D435" t="str">
        <x:v>u3078</x:v>
      </x:c>
      <x:c r="E435" t="str">
        <x:v>Instagram</x:v>
      </x:c>
      <x:c r="F435" t="str">
        <x:v>Varanasi</x:v>
      </x:c>
      <x:c r="G435" t="str">
        <x:v>Warli Painting</x:v>
      </x:c>
      <x:c r="H435" t="n">
        <x:v>2</x:v>
      </x:c>
      <x:c r="I435" t="n">
        <x:v>1800</x:v>
      </x:c>
      <x:c r="J435" t="str">
        <x:v>Completed</x:v>
      </x:c>
      <x:c r="K435" t="n">
        <x:f>H435*I435</x:f>
        <x:v>3600</x:v>
      </x:c>
      <x:c r="L435" s="16" t="n">
        <x:f>IF(J435="Completed",K435*0.80,0)</x:f>
        <x:v>2880</x:v>
      </x:c>
      <x:c r="M435" t="n">
        <x:v>4</x:v>
      </x:c>
      <x:c r="N435" t="str">
        <x:v>Yes</x:v>
      </x:c>
      <x:c r="O435" t="str">
        <x:v>Traveler Success</x:v>
      </x:c>
    </x:row>
    <x:row r="436">
      <x:c r="A436" t="str">
        <x:v>CRB5434</x:v>
      </x:c>
      <x:c r="B436" t="str">
        <x:v>2026-07-09</x:v>
      </x:c>
      <x:c r="C436" t="str">
        <x:v>Rahul Mehta</x:v>
      </x:c>
      <x:c r="D436" t="str">
        <x:v>u3082</x:v>
      </x:c>
      <x:c r="E436" t="str">
        <x:v>Instagram</x:v>
      </x:c>
      <x:c r="F436" t="str">
        <x:v>Khurja</x:v>
      </x:c>
      <x:c r="G436" t="str">
        <x:v>Block Printing</x:v>
      </x:c>
      <x:c r="H436" t="n">
        <x:v>3</x:v>
      </x:c>
      <x:c r="I436" t="n">
        <x:v>1800</x:v>
      </x:c>
      <x:c r="J436" t="str">
        <x:v>Completed</x:v>
      </x:c>
      <x:c r="K436" t="n">
        <x:f>H436*I436</x:f>
        <x:v>5400</x:v>
      </x:c>
      <x:c r="L436" s="16" t="n">
        <x:f>IF(J436="Completed",K436*0.80,0)</x:f>
        <x:v>4320</x:v>
      </x:c>
      <x:c r="M436" t="n">
        <x:v>4.2</x:v>
      </x:c>
      <x:c r="N436" t="str">
        <x:v>No</x:v>
      </x:c>
      <x:c r="O436" t="str">
        <x:v>Customer Success</x:v>
      </x:c>
    </x:row>
    <x:row r="437">
      <x:c r="A437" t="str">
        <x:v>CRB5435</x:v>
      </x:c>
      <x:c r="B437" t="str">
        <x:v>2026-07-09</x:v>
      </x:c>
      <x:c r="C437" t="str">
        <x:v>Priya Sharma</x:v>
      </x:c>
      <x:c r="D437" t="str">
        <x:v>u3084</x:v>
      </x:c>
      <x:c r="E437" t="str">
        <x:v>Direct</x:v>
      </x:c>
      <x:c r="F437" t="str">
        <x:v>Jaipur</x:v>
      </x:c>
      <x:c r="G437" t="str">
        <x:v>Blue Pottery</x:v>
      </x:c>
      <x:c r="H437" t="n">
        <x:v>3</x:v>
      </x:c>
      <x:c r="I437" t="n">
        <x:v>2000</x:v>
      </x:c>
      <x:c r="J437" t="str">
        <x:v>Completed</x:v>
      </x:c>
      <x:c r="K437" t="n">
        <x:f>H437*I437</x:f>
        <x:v>6000</x:v>
      </x:c>
      <x:c r="L437" s="16" t="n">
        <x:f>IF(J437="Completed",K437*0.80,0)</x:f>
        <x:v>4800</x:v>
      </x:c>
      <x:c r="M437" t="n">
        <x:v>5</x:v>
      </x:c>
      <x:c r="N437" t="str">
        <x:v>Yes</x:v>
      </x:c>
      <x:c r="O437" t="str">
        <x:v>Traveler Success</x:v>
      </x:c>
    </x:row>
    <x:row r="438">
      <x:c r="A438" t="str">
        <x:v>CRB5436</x:v>
      </x:c>
      <x:c r="B438" t="str">
        <x:v>2026-07-09</x:v>
      </x:c>
      <x:c r="C438" t="str">
        <x:v>Priya Sharma</x:v>
      </x:c>
      <x:c r="D438" t="str">
        <x:v>u3088</x:v>
      </x:c>
      <x:c r="E438" t="str">
        <x:v>Direct</x:v>
      </x:c>
      <x:c r="F438" t="str">
        <x:v>Jaipur</x:v>
      </x:c>
      <x:c r="G438" t="str">
        <x:v>Weaving</x:v>
      </x:c>
      <x:c r="H438" t="n">
        <x:v>12</x:v>
      </x:c>
      <x:c r="I438" t="n">
        <x:v>2000</x:v>
      </x:c>
      <x:c r="J438" t="str">
        <x:v>Cancelled</x:v>
      </x:c>
      <x:c r="K438" t="n">
        <x:f>H438*I438</x:f>
        <x:v>24000</x:v>
      </x:c>
      <x:c r="L438" s="16" t="n">
        <x:f>IF(J438="Completed",K438*0.80,0)</x:f>
        <x:v>0</x:v>
      </x:c>
      <x:c r="M438" t="str"/>
      <x:c r="N438" t="str">
        <x:v>No</x:v>
      </x:c>
      <x:c r="O438" t="str">
        <x:v>Traveler Success</x:v>
      </x:c>
    </x:row>
    <x:row r="439">
      <x:c r="A439" t="str">
        <x:v>CRB5437</x:v>
      </x:c>
      <x:c r="B439" t="str">
        <x:v>2026-07-09</x:v>
      </x:c>
      <x:c r="C439" t="str">
        <x:v>Ananya Reddy</x:v>
      </x:c>
      <x:c r="D439" t="str">
        <x:v>u3098</x:v>
      </x:c>
      <x:c r="E439" t="str">
        <x:v>Google Search</x:v>
      </x:c>
      <x:c r="F439" t="str">
        <x:v>Khurja</x:v>
      </x:c>
      <x:c r="G439" t="str">
        <x:v>Warli Painting</x:v>
      </x:c>
      <x:c r="H439" t="n">
        <x:v>12</x:v>
      </x:c>
      <x:c r="I439" t="n">
        <x:v>1800</x:v>
      </x:c>
      <x:c r="J439" t="str">
        <x:v>Completed</x:v>
      </x:c>
      <x:c r="K439" t="n">
        <x:f>H439*I439</x:f>
        <x:v>21600</x:v>
      </x:c>
      <x:c r="L439" s="16" t="n">
        <x:f>IF(J439="Completed",K439*0.80,0)</x:f>
        <x:v>17280</x:v>
      </x:c>
      <x:c r="M439" t="n">
        <x:v>4.4</x:v>
      </x:c>
      <x:c r="N439" t="str">
        <x:v>No</x:v>
      </x:c>
      <x:c r="O439" t="str">
        <x:v>Revenue / Enterprise Team</x:v>
      </x:c>
    </x:row>
    <x:row r="440">
      <x:c r="A440" t="str">
        <x:v>CRB5438</x:v>
      </x:c>
      <x:c r="B440" t="str">
        <x:v>2026-07-09</x:v>
      </x:c>
      <x:c r="C440" t="str">
        <x:v>Sofia Martinez</x:v>
      </x:c>
      <x:c r="D440" t="str">
        <x:v>u3107</x:v>
      </x:c>
      <x:c r="E440" t="str">
        <x:v>Instagram</x:v>
      </x:c>
      <x:c r="F440" t="str">
        <x:v>Udaipur</x:v>
      </x:c>
      <x:c r="G440" t="str">
        <x:v>Weaving</x:v>
      </x:c>
      <x:c r="H440" t="n">
        <x:v>3</x:v>
      </x:c>
      <x:c r="I440" t="n">
        <x:v>3500</x:v>
      </x:c>
      <x:c r="J440" t="str">
        <x:v>Cancelled</x:v>
      </x:c>
      <x:c r="K440" t="n">
        <x:f>H440*I440</x:f>
        <x:v>10500</x:v>
      </x:c>
      <x:c r="L440" s="16" t="n">
        <x:f>IF(J440="Completed",K440*0.80,0)</x:f>
        <x:v>0</x:v>
      </x:c>
      <x:c r="M440" t="str"/>
      <x:c r="N440" t="str">
        <x:v>No</x:v>
      </x:c>
      <x:c r="O440" t="str">
        <x:v>Revenue / Enterprise Team</x:v>
      </x:c>
    </x:row>
    <x:row r="441">
      <x:c r="A441" t="str">
        <x:v>CRB5439</x:v>
      </x:c>
      <x:c r="B441" t="str">
        <x:v>2026-07-09</x:v>
      </x:c>
      <x:c r="C441" t="str">
        <x:v>Sofia Martinez</x:v>
      </x:c>
      <x:c r="D441" t="str">
        <x:v>u3110</x:v>
      </x:c>
      <x:c r="E441" t="str">
        <x:v>Google Search</x:v>
      </x:c>
      <x:c r="F441" t="str">
        <x:v>Udaipur</x:v>
      </x:c>
      <x:c r="G441" t="str">
        <x:v>Warli Painting</x:v>
      </x:c>
      <x:c r="H441" t="n">
        <x:v>2</x:v>
      </x:c>
      <x:c r="I441" t="n">
        <x:v>2200</x:v>
      </x:c>
      <x:c r="J441" t="str">
        <x:v>Completed</x:v>
      </x:c>
      <x:c r="K441" t="n">
        <x:f>H441*I441</x:f>
        <x:v>4400</x:v>
      </x:c>
      <x:c r="L441" s="16" t="n">
        <x:f>IF(J441="Completed",K441*0.80,0)</x:f>
        <x:v>3520</x:v>
      </x:c>
      <x:c r="M441" t="n">
        <x:v>3.9</x:v>
      </x:c>
      <x:c r="N441" t="str">
        <x:v>No</x:v>
      </x:c>
      <x:c r="O441" t="str">
        <x:v>Revenue / Enterprise Team</x:v>
      </x:c>
    </x:row>
    <x:row r="442">
      <x:c r="A442" t="str">
        <x:v>CRB5440</x:v>
      </x:c>
      <x:c r="B442" t="str">
        <x:v>2026-07-09</x:v>
      </x:c>
      <x:c r="C442" t="str">
        <x:v>Mark Thompson</x:v>
      </x:c>
      <x:c r="D442" t="str">
        <x:v>u3112</x:v>
      </x:c>
      <x:c r="E442" t="str">
        <x:v>Google Search</x:v>
      </x:c>
      <x:c r="F442" t="str">
        <x:v>Varanasi</x:v>
      </x:c>
      <x:c r="G442" t="str">
        <x:v>Block Printing</x:v>
      </x:c>
      <x:c r="H442" t="n">
        <x:v>6</x:v>
      </x:c>
      <x:c r="I442" t="n">
        <x:v>3500</x:v>
      </x:c>
      <x:c r="J442" t="str">
        <x:v>Completed</x:v>
      </x:c>
      <x:c r="K442" t="n">
        <x:f>H442*I442</x:f>
        <x:v>21000</x:v>
      </x:c>
      <x:c r="L442" s="16" t="n">
        <x:f>IF(J442="Completed",K442*0.80,0)</x:f>
        <x:v>16800</x:v>
      </x:c>
      <x:c r="M442" t="n">
        <x:v>4.7</x:v>
      </x:c>
      <x:c r="N442" t="str">
        <x:v>No</x:v>
      </x:c>
      <x:c r="O442" t="str">
        <x:v>Customer Success</x:v>
      </x:c>
    </x:row>
    <x:row r="443">
      <x:c r="A443" t="str">
        <x:v>CRB5441</x:v>
      </x:c>
      <x:c r="B443" t="str">
        <x:v>2026-07-09</x:v>
      </x:c>
      <x:c r="C443" t="str">
        <x:v>Priya Sharma</x:v>
      </x:c>
      <x:c r="D443" t="str">
        <x:v>u3119</x:v>
      </x:c>
      <x:c r="E443" t="str">
        <x:v>Referral</x:v>
      </x:c>
      <x:c r="F443" t="str">
        <x:v>Jaipur</x:v>
      </x:c>
      <x:c r="G443" t="str">
        <x:v>Weaving</x:v>
      </x:c>
      <x:c r="H443" t="n">
        <x:v>4</x:v>
      </x:c>
      <x:c r="I443" t="n">
        <x:v>1800</x:v>
      </x:c>
      <x:c r="J443" t="str">
        <x:v>Completed</x:v>
      </x:c>
      <x:c r="K443" t="n">
        <x:f>H443*I443</x:f>
        <x:v>7200</x:v>
      </x:c>
      <x:c r="L443" s="16" t="n">
        <x:f>IF(J443="Completed",K443*0.80,0)</x:f>
        <x:v>5760</x:v>
      </x:c>
      <x:c r="M443" t="n">
        <x:v>3.8</x:v>
      </x:c>
      <x:c r="N443" t="str">
        <x:v>No</x:v>
      </x:c>
      <x:c r="O443" t="str">
        <x:v>Revenue / Enterprise Team</x:v>
      </x:c>
    </x:row>
    <x:row r="444">
      <x:c r="A444" t="str">
        <x:v>CRB5442</x:v>
      </x:c>
      <x:c r="B444" t="str">
        <x:v>2026-07-09</x:v>
      </x:c>
      <x:c r="C444" t="str">
        <x:v>Mark Thompson</x:v>
      </x:c>
      <x:c r="D444" t="str">
        <x:v>u3124</x:v>
      </x:c>
      <x:c r="E444" t="str">
        <x:v>Google Search</x:v>
      </x:c>
      <x:c r="F444" t="str">
        <x:v>Udaipur</x:v>
      </x:c>
      <x:c r="G444" t="str">
        <x:v>Block Printing</x:v>
      </x:c>
      <x:c r="H444" t="n">
        <x:v>2</x:v>
      </x:c>
      <x:c r="I444" t="n">
        <x:v>3000</x:v>
      </x:c>
      <x:c r="J444" t="str">
        <x:v>Completed</x:v>
      </x:c>
      <x:c r="K444" t="n">
        <x:f>H444*I444</x:f>
        <x:v>6000</x:v>
      </x:c>
      <x:c r="L444" s="16" t="n">
        <x:f>IF(J444="Completed",K444*0.80,0)</x:f>
        <x:v>4800</x:v>
      </x:c>
      <x:c r="M444" t="n">
        <x:v>5</x:v>
      </x:c>
      <x:c r="N444" t="str">
        <x:v>Yes</x:v>
      </x:c>
      <x:c r="O444" t="str">
        <x:v>Customer Success</x:v>
      </x:c>
    </x:row>
    <x:row r="445">
      <x:c r="A445" t="str">
        <x:v>CRB5443</x:v>
      </x:c>
      <x:c r="B445" t="str">
        <x:v>2026-07-09</x:v>
      </x:c>
      <x:c r="C445" t="str">
        <x:v>Sofia Martinez</x:v>
      </x:c>
      <x:c r="D445" t="str">
        <x:v>u3125</x:v>
      </x:c>
      <x:c r="E445" t="str">
        <x:v>Referral</x:v>
      </x:c>
      <x:c r="F445" t="str">
        <x:v>Jaipur</x:v>
      </x:c>
      <x:c r="G445" t="str">
        <x:v>Blue Pottery</x:v>
      </x:c>
      <x:c r="H445" t="n">
        <x:v>10</x:v>
      </x:c>
      <x:c r="I445" t="n">
        <x:v>3000</x:v>
      </x:c>
      <x:c r="J445" t="str">
        <x:v>Completed</x:v>
      </x:c>
      <x:c r="K445" t="n">
        <x:f>H445*I445</x:f>
        <x:v>30000</x:v>
      </x:c>
      <x:c r="L445" s="16" t="n">
        <x:f>IF(J445="Completed",K445*0.80,0)</x:f>
        <x:v>24000</x:v>
      </x:c>
      <x:c r="M445" t="n">
        <x:v>4.8</x:v>
      </x:c>
      <x:c r="N445" t="str">
        <x:v>No</x:v>
      </x:c>
      <x:c r="O445" t="str">
        <x:v>Traveler Success</x:v>
      </x:c>
    </x:row>
    <x:row r="446">
      <x:c r="A446" t="str">
        <x:v>CRB5444</x:v>
      </x:c>
      <x:c r="B446" t="str">
        <x:v>2026-07-09</x:v>
      </x:c>
      <x:c r="C446" t="str">
        <x:v>Ananya Reddy</x:v>
      </x:c>
      <x:c r="D446" t="str">
        <x:v>u3139</x:v>
      </x:c>
      <x:c r="E446" t="str">
        <x:v>Google Search</x:v>
      </x:c>
      <x:c r="F446" t="str">
        <x:v>Bangalore</x:v>
      </x:c>
      <x:c r="G446" t="str">
        <x:v>Weaving</x:v>
      </x:c>
      <x:c r="H446" t="n">
        <x:v>4</x:v>
      </x:c>
      <x:c r="I446" t="n">
        <x:v>1800</x:v>
      </x:c>
      <x:c r="J446" t="str">
        <x:v>Completed</x:v>
      </x:c>
      <x:c r="K446" t="n">
        <x:f>H446*I446</x:f>
        <x:v>7200</x:v>
      </x:c>
      <x:c r="L446" s="16" t="n">
        <x:f>IF(J446="Completed",K446*0.80,0)</x:f>
        <x:v>5760</x:v>
      </x:c>
      <x:c r="M446" t="n">
        <x:v>4.1</x:v>
      </x:c>
      <x:c r="N446" t="str">
        <x:v>No</x:v>
      </x:c>
      <x:c r="O446" t="str">
        <x:v>Traveler Success</x:v>
      </x:c>
    </x:row>
    <x:row r="447">
      <x:c r="A447" t="str">
        <x:v>CRB5445</x:v>
      </x:c>
      <x:c r="B447" t="str">
        <x:v>2026-07-09</x:v>
      </x:c>
      <x:c r="C447" t="str">
        <x:v>Sofia Martinez</x:v>
      </x:c>
      <x:c r="D447" t="str">
        <x:v>u3142</x:v>
      </x:c>
      <x:c r="E447" t="str">
        <x:v>Google Search</x:v>
      </x:c>
      <x:c r="F447" t="str">
        <x:v>Jaipur</x:v>
      </x:c>
      <x:c r="G447" t="str">
        <x:v>Warli Painting</x:v>
      </x:c>
      <x:c r="H447" t="n">
        <x:v>1</x:v>
      </x:c>
      <x:c r="I447" t="n">
        <x:v>3500</x:v>
      </x:c>
      <x:c r="J447" t="str">
        <x:v>Completed</x:v>
      </x:c>
      <x:c r="K447" t="n">
        <x:f>H447*I447</x:f>
        <x:v>3500</x:v>
      </x:c>
      <x:c r="L447" s="16" t="n">
        <x:f>IF(J447="Completed",K447*0.80,0)</x:f>
        <x:v>2800</x:v>
      </x:c>
      <x:c r="M447" t="n">
        <x:v>3.8</x:v>
      </x:c>
      <x:c r="N447" t="str">
        <x:v>No</x:v>
      </x:c>
      <x:c r="O447" t="str">
        <x:v>Revenue / Enterprise Team</x:v>
      </x:c>
    </x:row>
    <x:row r="448">
      <x:c r="A448" t="str">
        <x:v>CRB5446</x:v>
      </x:c>
      <x:c r="B448" t="str">
        <x:v>2026-07-10</x:v>
      </x:c>
      <x:c r="C448" t="str">
        <x:v>Priya Sharma</x:v>
      </x:c>
      <x:c r="D448" t="str">
        <x:v>u3143</x:v>
      </x:c>
      <x:c r="E448" t="str">
        <x:v>Instagram</x:v>
      </x:c>
      <x:c r="F448" t="str">
        <x:v>Jaipur</x:v>
      </x:c>
      <x:c r="G448" t="str">
        <x:v>Weaving</x:v>
      </x:c>
      <x:c r="H448" t="n">
        <x:v>6</x:v>
      </x:c>
      <x:c r="I448" t="n">
        <x:v>1500</x:v>
      </x:c>
      <x:c r="J448" t="str">
        <x:v>Completed</x:v>
      </x:c>
      <x:c r="K448" t="n">
        <x:f>H448*I448</x:f>
        <x:v>9000</x:v>
      </x:c>
      <x:c r="L448" s="16" t="n">
        <x:f>IF(J448="Completed",K448*0.80,0)</x:f>
        <x:v>7200</x:v>
      </x:c>
      <x:c r="M448" t="n">
        <x:v>4.2</x:v>
      </x:c>
      <x:c r="N448" t="str">
        <x:v>Yes</x:v>
      </x:c>
      <x:c r="O448" t="str">
        <x:v>Customer Success</x:v>
      </x:c>
    </x:row>
    <x:row r="449">
      <x:c r="A449" t="str">
        <x:v>CRB5447</x:v>
      </x:c>
      <x:c r="B449" t="str">
        <x:v>2026-07-10</x:v>
      </x:c>
      <x:c r="C449" t="str">
        <x:v>Priya Sharma</x:v>
      </x:c>
      <x:c r="D449" t="str">
        <x:v>u3150</x:v>
      </x:c>
      <x:c r="E449" t="str">
        <x:v>Travel Blog</x:v>
      </x:c>
      <x:c r="F449" t="str">
        <x:v>Khurja</x:v>
      </x:c>
      <x:c r="G449" t="str">
        <x:v>Block Printing</x:v>
      </x:c>
      <x:c r="H449" t="n">
        <x:v>4</x:v>
      </x:c>
      <x:c r="I449" t="n">
        <x:v>3000</x:v>
      </x:c>
      <x:c r="J449" t="str">
        <x:v>Completed</x:v>
      </x:c>
      <x:c r="K449" t="n">
        <x:f>H449*I449</x:f>
        <x:v>12000</x:v>
      </x:c>
      <x:c r="L449" s="16" t="n">
        <x:f>IF(J449="Completed",K449*0.80,0)</x:f>
        <x:v>9600</x:v>
      </x:c>
      <x:c r="M449" t="n">
        <x:v>4.8</x:v>
      </x:c>
      <x:c r="N449" t="str">
        <x:v>No</x:v>
      </x:c>
      <x:c r="O449" t="str">
        <x:v>Traveler Success</x:v>
      </x:c>
    </x:row>
    <x:row r="450">
      <x:c r="A450" t="str">
        <x:v>CRB5448</x:v>
      </x:c>
      <x:c r="B450" t="str">
        <x:v>2026-07-10</x:v>
      </x:c>
      <x:c r="C450" t="str">
        <x:v>Sofia Martinez</x:v>
      </x:c>
      <x:c r="D450" t="str">
        <x:v>u3151</x:v>
      </x:c>
      <x:c r="E450" t="str">
        <x:v>Google Search</x:v>
      </x:c>
      <x:c r="F450" t="str">
        <x:v>Udaipur</x:v>
      </x:c>
      <x:c r="G450" t="str">
        <x:v>Block Printing</x:v>
      </x:c>
      <x:c r="H450" t="n">
        <x:v>10</x:v>
      </x:c>
      <x:c r="I450" t="n">
        <x:v>2500</x:v>
      </x:c>
      <x:c r="J450" t="str">
        <x:v>No-show</x:v>
      </x:c>
      <x:c r="K450" t="n">
        <x:f>H450*I450</x:f>
        <x:v>25000</x:v>
      </x:c>
      <x:c r="L450" s="16" t="n">
        <x:f>IF(J450="Completed",K450*0.80,0)</x:f>
        <x:v>0</x:v>
      </x:c>
      <x:c r="M450" t="str"/>
      <x:c r="N450" t="str">
        <x:v>No</x:v>
      </x:c>
      <x:c r="O450" t="str">
        <x:v>Revenue / Enterprise Team</x:v>
      </x:c>
    </x:row>
    <x:row r="451">
      <x:c r="A451" t="str">
        <x:v>CRB5449</x:v>
      </x:c>
      <x:c r="B451" t="str">
        <x:v>2026-07-10</x:v>
      </x:c>
      <x:c r="C451" t="str">
        <x:v>Rahul Mehta</x:v>
      </x:c>
      <x:c r="D451" t="str">
        <x:v>u3159</x:v>
      </x:c>
      <x:c r="E451" t="str">
        <x:v>Travel Blog</x:v>
      </x:c>
      <x:c r="F451" t="str">
        <x:v>Udaipur</x:v>
      </x:c>
      <x:c r="G451" t="str">
        <x:v>Warli Painting</x:v>
      </x:c>
      <x:c r="H451" t="n">
        <x:v>2</x:v>
      </x:c>
      <x:c r="I451" t="n">
        <x:v>2500</x:v>
      </x:c>
      <x:c r="J451" t="str">
        <x:v>Completed</x:v>
      </x:c>
      <x:c r="K451" t="n">
        <x:f>H451*I451</x:f>
        <x:v>5000</x:v>
      </x:c>
      <x:c r="L451" s="16" t="n">
        <x:f>IF(J451="Completed",K451*0.80,0)</x:f>
        <x:v>4000</x:v>
      </x:c>
      <x:c r="M451" t="n">
        <x:v>4.7</x:v>
      </x:c>
      <x:c r="N451" t="str">
        <x:v>No</x:v>
      </x:c>
      <x:c r="O451" t="str">
        <x:v>Traveler Success</x:v>
      </x:c>
    </x:row>
    <x:row r="452">
      <x:c r="A452" t="str">
        <x:v>CRB5450</x:v>
      </x:c>
      <x:c r="B452" t="str">
        <x:v>2026-07-10</x:v>
      </x:c>
      <x:c r="C452" t="str">
        <x:v>Priya Sharma</x:v>
      </x:c>
      <x:c r="D452" t="str">
        <x:v>u3168</x:v>
      </x:c>
      <x:c r="E452" t="str">
        <x:v>Google Search</x:v>
      </x:c>
      <x:c r="F452" t="str">
        <x:v>Bangalore</x:v>
      </x:c>
      <x:c r="G452" t="str">
        <x:v>Block Printing</x:v>
      </x:c>
      <x:c r="H452" t="n">
        <x:v>4</x:v>
      </x:c>
      <x:c r="I452" t="n">
        <x:v>1500</x:v>
      </x:c>
      <x:c r="J452" t="str">
        <x:v>Completed</x:v>
      </x:c>
      <x:c r="K452" t="n">
        <x:f>H452*I452</x:f>
        <x:v>6000</x:v>
      </x:c>
      <x:c r="L452" s="16" t="n">
        <x:f>IF(J452="Completed",K452*0.80,0)</x:f>
        <x:v>4800</x:v>
      </x:c>
      <x:c r="M452" t="n">
        <x:v>4.6</x:v>
      </x:c>
      <x:c r="N452" t="str">
        <x:v>No</x:v>
      </x:c>
      <x:c r="O452" t="str">
        <x:v>Customer Success</x:v>
      </x:c>
    </x:row>
    <x:row r="453">
      <x:c r="A453" t="str">
        <x:v>CRB5451</x:v>
      </x:c>
      <x:c r="B453" t="str">
        <x:v>2026-07-10</x:v>
      </x:c>
      <x:c r="C453" t="str">
        <x:v>Sofia Martinez</x:v>
      </x:c>
      <x:c r="D453" t="str">
        <x:v>u3169</x:v>
      </x:c>
      <x:c r="E453" t="str">
        <x:v>Instagram</x:v>
      </x:c>
      <x:c r="F453" t="str">
        <x:v>Udaipur</x:v>
      </x:c>
      <x:c r="G453" t="str">
        <x:v>Weaving</x:v>
      </x:c>
      <x:c r="H453" t="n">
        <x:v>6</x:v>
      </x:c>
      <x:c r="I453" t="n">
        <x:v>2200</x:v>
      </x:c>
      <x:c r="J453" t="str">
        <x:v>Completed</x:v>
      </x:c>
      <x:c r="K453" t="n">
        <x:f>H453*I453</x:f>
        <x:v>13200</x:v>
      </x:c>
      <x:c r="L453" s="16" t="n">
        <x:f>IF(J453="Completed",K453*0.80,0)</x:f>
        <x:v>10560</x:v>
      </x:c>
      <x:c r="M453" t="n">
        <x:v>4.5</x:v>
      </x:c>
      <x:c r="N453" t="str">
        <x:v>Yes</x:v>
      </x:c>
      <x:c r="O453" t="str">
        <x:v>Revenue / Enterprise Team</x:v>
      </x:c>
    </x:row>
    <x:row r="454">
      <x:c r="A454" t="str">
        <x:v>CRB5452</x:v>
      </x:c>
      <x:c r="B454" t="str">
        <x:v>2026-07-10</x:v>
      </x:c>
      <x:c r="C454" t="str">
        <x:v>Rahul Mehta</x:v>
      </x:c>
      <x:c r="D454" t="str">
        <x:v>u3170</x:v>
      </x:c>
      <x:c r="E454" t="str">
        <x:v>Travel Blog</x:v>
      </x:c>
      <x:c r="F454" t="str">
        <x:v>Jaipur</x:v>
      </x:c>
      <x:c r="G454" t="str">
        <x:v>Blue Pottery</x:v>
      </x:c>
      <x:c r="H454" t="n">
        <x:v>10</x:v>
      </x:c>
      <x:c r="I454" t="n">
        <x:v>3500</x:v>
      </x:c>
      <x:c r="J454" t="str">
        <x:v>Completed</x:v>
      </x:c>
      <x:c r="K454" t="n">
        <x:f>H454*I454</x:f>
        <x:v>35000</x:v>
      </x:c>
      <x:c r="L454" s="16" t="n">
        <x:f>IF(J454="Completed",K454*0.80,0)</x:f>
        <x:v>28000</x:v>
      </x:c>
      <x:c r="M454" t="n">
        <x:v>4.6</x:v>
      </x:c>
      <x:c r="N454" t="str">
        <x:v>No</x:v>
      </x:c>
      <x:c r="O454" t="str">
        <x:v>Revenue / Enterprise Team</x:v>
      </x:c>
    </x:row>
    <x:row r="455">
      <x:c r="A455" t="str">
        <x:v>CRB5453</x:v>
      </x:c>
      <x:c r="B455" t="str">
        <x:v>2026-07-10</x:v>
      </x:c>
      <x:c r="C455" t="str">
        <x:v>Sofia Martinez</x:v>
      </x:c>
      <x:c r="D455" t="str">
        <x:v>u3172</x:v>
      </x:c>
      <x:c r="E455" t="str">
        <x:v>Instagram</x:v>
      </x:c>
      <x:c r="F455" t="str">
        <x:v>Udaipur</x:v>
      </x:c>
      <x:c r="G455" t="str">
        <x:v>Weaving</x:v>
      </x:c>
      <x:c r="H455" t="n">
        <x:v>2</x:v>
      </x:c>
      <x:c r="I455" t="n">
        <x:v>2200</x:v>
      </x:c>
      <x:c r="J455" t="str">
        <x:v>Completed</x:v>
      </x:c>
      <x:c r="K455" t="n">
        <x:f>H455*I455</x:f>
        <x:v>4400</x:v>
      </x:c>
      <x:c r="L455" s="16" t="n">
        <x:f>IF(J455="Completed",K455*0.80,0)</x:f>
        <x:v>3520</x:v>
      </x:c>
      <x:c r="M455" t="n">
        <x:v>4.5</x:v>
      </x:c>
      <x:c r="N455" t="str">
        <x:v>Yes</x:v>
      </x:c>
      <x:c r="O455" t="str">
        <x:v>Customer Success</x:v>
      </x:c>
    </x:row>
    <x:row r="456">
      <x:c r="A456" t="str">
        <x:v>CRB5454</x:v>
      </x:c>
      <x:c r="B456" t="str">
        <x:v>2026-07-10</x:v>
      </x:c>
      <x:c r="C456" t="str">
        <x:v>Mark Thompson</x:v>
      </x:c>
      <x:c r="D456" t="str">
        <x:v>u3176</x:v>
      </x:c>
      <x:c r="E456" t="str">
        <x:v>Direct</x:v>
      </x:c>
      <x:c r="F456" t="str">
        <x:v>Udaipur</x:v>
      </x:c>
      <x:c r="G456" t="str">
        <x:v>Warli Painting</x:v>
      </x:c>
      <x:c r="H456" t="n">
        <x:v>12</x:v>
      </x:c>
      <x:c r="I456" t="n">
        <x:v>1800</x:v>
      </x:c>
      <x:c r="J456" t="str">
        <x:v>Cancelled</x:v>
      </x:c>
      <x:c r="K456" t="n">
        <x:f>H456*I456</x:f>
        <x:v>21600</x:v>
      </x:c>
      <x:c r="L456" s="16" t="n">
        <x:f>IF(J456="Completed",K456*0.80,0)</x:f>
        <x:v>0</x:v>
      </x:c>
      <x:c r="M456" t="str"/>
      <x:c r="N456" t="str">
        <x:v>No</x:v>
      </x:c>
      <x:c r="O456" t="str">
        <x:v>Traveler Success</x:v>
      </x:c>
    </x:row>
    <x:row r="457">
      <x:c r="A457" t="str">
        <x:v>CRB5455</x:v>
      </x:c>
      <x:c r="B457" t="str">
        <x:v>2026-07-10</x:v>
      </x:c>
      <x:c r="C457" t="str">
        <x:v>Mark Thompson</x:v>
      </x:c>
      <x:c r="D457" t="str">
        <x:v>u3184</x:v>
      </x:c>
      <x:c r="E457" t="str">
        <x:v>Direct</x:v>
      </x:c>
      <x:c r="F457" t="str">
        <x:v>Jaipur</x:v>
      </x:c>
      <x:c r="G457" t="str">
        <x:v>Blue Pottery</x:v>
      </x:c>
      <x:c r="H457" t="n">
        <x:v>10</x:v>
      </x:c>
      <x:c r="I457" t="n">
        <x:v>1500</x:v>
      </x:c>
      <x:c r="J457" t="str">
        <x:v>Completed</x:v>
      </x:c>
      <x:c r="K457" t="n">
        <x:f>H457*I457</x:f>
        <x:v>15000</x:v>
      </x:c>
      <x:c r="L457" s="16" t="n">
        <x:f>IF(J457="Completed",K457*0.80,0)</x:f>
        <x:v>12000</x:v>
      </x:c>
      <x:c r="M457" t="n">
        <x:v>4.9</x:v>
      </x:c>
      <x:c r="N457" t="str">
        <x:v>No</x:v>
      </x:c>
      <x:c r="O457" t="str">
        <x:v>Customer Success</x:v>
      </x:c>
    </x:row>
    <x:row r="458">
      <x:c r="A458" t="str">
        <x:v>CRB5456</x:v>
      </x:c>
      <x:c r="B458" t="str">
        <x:v>2026-07-10</x:v>
      </x:c>
      <x:c r="C458" t="str">
        <x:v>Sofia Martinez</x:v>
      </x:c>
      <x:c r="D458" t="str">
        <x:v>u3185</x:v>
      </x:c>
      <x:c r="E458" t="str">
        <x:v>Direct</x:v>
      </x:c>
      <x:c r="F458" t="str">
        <x:v>Khurja</x:v>
      </x:c>
      <x:c r="G458" t="str">
        <x:v>Pottery</x:v>
      </x:c>
      <x:c r="H458" t="n">
        <x:v>3</x:v>
      </x:c>
      <x:c r="I458" t="n">
        <x:v>2200</x:v>
      </x:c>
      <x:c r="J458" t="str">
        <x:v>Completed</x:v>
      </x:c>
      <x:c r="K458" t="n">
        <x:f>H458*I458</x:f>
        <x:v>6600</x:v>
      </x:c>
      <x:c r="L458" s="16" t="n">
        <x:f>IF(J458="Completed",K458*0.80,0)</x:f>
        <x:v>5280</x:v>
      </x:c>
      <x:c r="M458" t="n">
        <x:v>4.5</x:v>
      </x:c>
      <x:c r="N458" t="str">
        <x:v>Yes</x:v>
      </x:c>
      <x:c r="O458" t="str">
        <x:v>Revenue / Enterprise Team</x:v>
      </x:c>
    </x:row>
    <x:row r="459">
      <x:c r="A459" t="str">
        <x:v>CRB5457</x:v>
      </x:c>
      <x:c r="B459" t="str">
        <x:v>2026-07-10</x:v>
      </x:c>
      <x:c r="C459" t="str">
        <x:v>Rahul Mehta</x:v>
      </x:c>
      <x:c r="D459" t="str">
        <x:v>u3186</x:v>
      </x:c>
      <x:c r="E459" t="str">
        <x:v>Google Search</x:v>
      </x:c>
      <x:c r="F459" t="str">
        <x:v>Bangalore</x:v>
      </x:c>
      <x:c r="G459" t="str">
        <x:v>Blue Pottery</x:v>
      </x:c>
      <x:c r="H459" t="n">
        <x:v>4</x:v>
      </x:c>
      <x:c r="I459" t="n">
        <x:v>1800</x:v>
      </x:c>
      <x:c r="J459" t="str">
        <x:v>Completed</x:v>
      </x:c>
      <x:c r="K459" t="n">
        <x:f>H459*I459</x:f>
        <x:v>7200</x:v>
      </x:c>
      <x:c r="L459" s="16" t="n">
        <x:f>IF(J459="Completed",K459*0.80,0)</x:f>
        <x:v>5760</x:v>
      </x:c>
      <x:c r="M459" t="n">
        <x:v>4.2</x:v>
      </x:c>
      <x:c r="N459" t="str">
        <x:v>Yes</x:v>
      </x:c>
      <x:c r="O459" t="str">
        <x:v>Traveler Success</x:v>
      </x:c>
    </x:row>
    <x:row r="460">
      <x:c r="A460" t="str">
        <x:v>CRB5458</x:v>
      </x:c>
      <x:c r="B460" t="str">
        <x:v>2026-07-10</x:v>
      </x:c>
      <x:c r="C460" t="str">
        <x:v>Priya Sharma</x:v>
      </x:c>
      <x:c r="D460" t="str">
        <x:v>u3189</x:v>
      </x:c>
      <x:c r="E460" t="str">
        <x:v>Google Search</x:v>
      </x:c>
      <x:c r="F460" t="str">
        <x:v>Udaipur</x:v>
      </x:c>
      <x:c r="G460" t="str">
        <x:v>Blue Pottery</x:v>
      </x:c>
      <x:c r="H460" t="n">
        <x:v>2</x:v>
      </x:c>
      <x:c r="I460" t="n">
        <x:v>1800</x:v>
      </x:c>
      <x:c r="J460" t="str">
        <x:v>Completed</x:v>
      </x:c>
      <x:c r="K460" t="n">
        <x:f>H460*I460</x:f>
        <x:v>3600</x:v>
      </x:c>
      <x:c r="L460" s="16" t="n">
        <x:f>IF(J460="Completed",K460*0.80,0)</x:f>
        <x:v>2880</x:v>
      </x:c>
      <x:c r="M460" t="n">
        <x:v>4</x:v>
      </x:c>
      <x:c r="N460" t="str">
        <x:v>No</x:v>
      </x:c>
      <x:c r="O460" t="str">
        <x:v>Revenue / Enterprise Team</x:v>
      </x:c>
    </x:row>
    <x:row r="461">
      <x:c r="A461" t="str">
        <x:v>CRB5459</x:v>
      </x:c>
      <x:c r="B461" t="str">
        <x:v>2026-07-10</x:v>
      </x:c>
      <x:c r="C461" t="str">
        <x:v>Sofia Martinez</x:v>
      </x:c>
      <x:c r="D461" t="str">
        <x:v>u3196</x:v>
      </x:c>
      <x:c r="E461" t="str">
        <x:v>Instagram</x:v>
      </x:c>
      <x:c r="F461" t="str">
        <x:v>Udaipur</x:v>
      </x:c>
      <x:c r="G461" t="str">
        <x:v>Warli Painting</x:v>
      </x:c>
      <x:c r="H461" t="n">
        <x:v>2</x:v>
      </x:c>
      <x:c r="I461" t="n">
        <x:v>3500</x:v>
      </x:c>
      <x:c r="J461" t="str">
        <x:v>Completed</x:v>
      </x:c>
      <x:c r="K461" t="n">
        <x:f>H461*I461</x:f>
        <x:v>7000</x:v>
      </x:c>
      <x:c r="L461" s="16" t="n">
        <x:f>IF(J461="Completed",K461*0.80,0)</x:f>
        <x:v>5600</x:v>
      </x:c>
      <x:c r="M461" t="n">
        <x:v>4.3</x:v>
      </x:c>
      <x:c r="N461" t="str">
        <x:v>No</x:v>
      </x:c>
      <x:c r="O461" t="str">
        <x:v>Customer Success</x:v>
      </x:c>
    </x:row>
    <x:row r="462">
      <x:c r="A462" t="str">
        <x:v>CRB5460</x:v>
      </x:c>
      <x:c r="B462" t="str">
        <x:v>2026-07-10</x:v>
      </x:c>
      <x:c r="C462" t="str">
        <x:v>Mark Thompson</x:v>
      </x:c>
      <x:c r="D462" t="str">
        <x:v>u3201</x:v>
      </x:c>
      <x:c r="E462" t="str">
        <x:v>Referral</x:v>
      </x:c>
      <x:c r="F462" t="str">
        <x:v>Bangalore</x:v>
      </x:c>
      <x:c r="G462" t="str">
        <x:v>Warli Painting</x:v>
      </x:c>
      <x:c r="H462" t="n">
        <x:v>4</x:v>
      </x:c>
      <x:c r="I462" t="n">
        <x:v>3500</x:v>
      </x:c>
      <x:c r="J462" t="str">
        <x:v>Completed</x:v>
      </x:c>
      <x:c r="K462" t="n">
        <x:f>H462*I462</x:f>
        <x:v>14000</x:v>
      </x:c>
      <x:c r="L462" s="16" t="n">
        <x:f>IF(J462="Completed",K462*0.80,0)</x:f>
        <x:v>11200</x:v>
      </x:c>
      <x:c r="M462" t="n">
        <x:v>4.2</x:v>
      </x:c>
      <x:c r="N462" t="str">
        <x:v>No</x:v>
      </x:c>
      <x:c r="O462" t="str">
        <x:v>Revenue / Enterprise Team</x:v>
      </x:c>
    </x:row>
    <x:row r="463">
      <x:c r="A463" t="str">
        <x:v>CRB5461</x:v>
      </x:c>
      <x:c r="B463" t="str">
        <x:v>2026-07-10</x:v>
      </x:c>
      <x:c r="C463" t="str">
        <x:v>Ananya Reddy</x:v>
      </x:c>
      <x:c r="D463" t="str">
        <x:v>u3205</x:v>
      </x:c>
      <x:c r="E463" t="str">
        <x:v>Google Search</x:v>
      </x:c>
      <x:c r="F463" t="str">
        <x:v>Varanasi</x:v>
      </x:c>
      <x:c r="G463" t="str">
        <x:v>Warli Painting</x:v>
      </x:c>
      <x:c r="H463" t="n">
        <x:v>2</x:v>
      </x:c>
      <x:c r="I463" t="n">
        <x:v>1500</x:v>
      </x:c>
      <x:c r="J463" t="str">
        <x:v>Completed</x:v>
      </x:c>
      <x:c r="K463" t="n">
        <x:f>H463*I463</x:f>
        <x:v>3000</x:v>
      </x:c>
      <x:c r="L463" s="16" t="n">
        <x:f>IF(J463="Completed",K463*0.80,0)</x:f>
        <x:v>2400</x:v>
      </x:c>
      <x:c r="M463" t="n">
        <x:v>4.6</x:v>
      </x:c>
      <x:c r="N463" t="str">
        <x:v>No</x:v>
      </x:c>
      <x:c r="O463" t="str">
        <x:v>Traveler Success</x:v>
      </x:c>
    </x:row>
    <x:row r="464">
      <x:c r="A464" t="str">
        <x:v>CRB5462</x:v>
      </x:c>
      <x:c r="B464" t="str">
        <x:v>2026-07-10</x:v>
      </x:c>
      <x:c r="C464" t="str">
        <x:v>Ananya Reddy</x:v>
      </x:c>
      <x:c r="D464" t="str">
        <x:v>u3207</x:v>
      </x:c>
      <x:c r="E464" t="str">
        <x:v>Direct</x:v>
      </x:c>
      <x:c r="F464" t="str">
        <x:v>Udaipur</x:v>
      </x:c>
      <x:c r="G464" t="str">
        <x:v>Warli Painting</x:v>
      </x:c>
      <x:c r="H464" t="n">
        <x:v>2</x:v>
      </x:c>
      <x:c r="I464" t="n">
        <x:v>2200</x:v>
      </x:c>
      <x:c r="J464" t="str">
        <x:v>Completed</x:v>
      </x:c>
      <x:c r="K464" t="n">
        <x:f>H464*I464</x:f>
        <x:v>4400</x:v>
      </x:c>
      <x:c r="L464" s="16" t="n">
        <x:f>IF(J464="Completed",K464*0.80,0)</x:f>
        <x:v>3520</x:v>
      </x:c>
      <x:c r="M464" t="n">
        <x:v>3.8</x:v>
      </x:c>
      <x:c r="N464" t="str">
        <x:v>No</x:v>
      </x:c>
      <x:c r="O464" t="str">
        <x:v>Customer Success</x:v>
      </x:c>
    </x:row>
    <x:row r="465">
      <x:c r="A465" t="str">
        <x:v>CRB5463</x:v>
      </x:c>
      <x:c r="B465" t="str">
        <x:v>2026-07-10</x:v>
      </x:c>
      <x:c r="C465" t="str">
        <x:v>Rahul Mehta</x:v>
      </x:c>
      <x:c r="D465" t="str">
        <x:v>u3215</x:v>
      </x:c>
      <x:c r="E465" t="str">
        <x:v>Referral</x:v>
      </x:c>
      <x:c r="F465" t="str">
        <x:v>Varanasi</x:v>
      </x:c>
      <x:c r="G465" t="str">
        <x:v>Blue Pottery</x:v>
      </x:c>
      <x:c r="H465" t="n">
        <x:v>4</x:v>
      </x:c>
      <x:c r="I465" t="n">
        <x:v>2500</x:v>
      </x:c>
      <x:c r="J465" t="str">
        <x:v>Completed</x:v>
      </x:c>
      <x:c r="K465" t="n">
        <x:f>H465*I465</x:f>
        <x:v>10000</x:v>
      </x:c>
      <x:c r="L465" s="16" t="n">
        <x:f>IF(J465="Completed",K465*0.80,0)</x:f>
        <x:v>8000</x:v>
      </x:c>
      <x:c r="M465" t="n">
        <x:v>3.8</x:v>
      </x:c>
      <x:c r="N465" t="str">
        <x:v>No</x:v>
      </x:c>
      <x:c r="O465" t="str">
        <x:v>Traveler Success</x:v>
      </x:c>
    </x:row>
    <x:row r="466">
      <x:c r="A466" t="str">
        <x:v>CRB5464</x:v>
      </x:c>
      <x:c r="B466" t="str">
        <x:v>2026-07-10</x:v>
      </x:c>
      <x:c r="C466" t="str">
        <x:v>Ananya Reddy</x:v>
      </x:c>
      <x:c r="D466" t="str">
        <x:v>u3216</x:v>
      </x:c>
      <x:c r="E466" t="str">
        <x:v>Google Search</x:v>
      </x:c>
      <x:c r="F466" t="str">
        <x:v>Udaipur</x:v>
      </x:c>
      <x:c r="G466" t="str">
        <x:v>Pottery</x:v>
      </x:c>
      <x:c r="H466" t="n">
        <x:v>4</x:v>
      </x:c>
      <x:c r="I466" t="n">
        <x:v>3500</x:v>
      </x:c>
      <x:c r="J466" t="str">
        <x:v>Completed</x:v>
      </x:c>
      <x:c r="K466" t="n">
        <x:f>H466*I466</x:f>
        <x:v>14000</x:v>
      </x:c>
      <x:c r="L466" s="16" t="n">
        <x:f>IF(J466="Completed",K466*0.80,0)</x:f>
        <x:v>11200</x:v>
      </x:c>
      <x:c r="M466" t="n">
        <x:v>4.8</x:v>
      </x:c>
      <x:c r="N466" t="str">
        <x:v>No</x:v>
      </x:c>
      <x:c r="O466" t="str">
        <x:v>Customer Success</x:v>
      </x:c>
    </x:row>
    <x:row r="467">
      <x:c r="A467" t="str">
        <x:v>CRB5465</x:v>
      </x:c>
      <x:c r="B467" t="str">
        <x:v>2026-07-10</x:v>
      </x:c>
      <x:c r="C467" t="str">
        <x:v>Ananya Reddy</x:v>
      </x:c>
      <x:c r="D467" t="str">
        <x:v>u3217</x:v>
      </x:c>
      <x:c r="E467" t="str">
        <x:v>Direct</x:v>
      </x:c>
      <x:c r="F467" t="str">
        <x:v>Khurja</x:v>
      </x:c>
      <x:c r="G467" t="str">
        <x:v>Pottery</x:v>
      </x:c>
      <x:c r="H467" t="n">
        <x:v>4</x:v>
      </x:c>
      <x:c r="I467" t="n">
        <x:v>2200</x:v>
      </x:c>
      <x:c r="J467" t="str">
        <x:v>Completed</x:v>
      </x:c>
      <x:c r="K467" t="n">
        <x:f>H467*I467</x:f>
        <x:v>8800</x:v>
      </x:c>
      <x:c r="L467" s="16" t="n">
        <x:f>IF(J467="Completed",K467*0.80,0)</x:f>
        <x:v>7040</x:v>
      </x:c>
      <x:c r="M467" t="n">
        <x:v>4.3</x:v>
      </x:c>
      <x:c r="N467" t="str">
        <x:v>No</x:v>
      </x:c>
      <x:c r="O467" t="str">
        <x:v>Traveler Success</x:v>
      </x:c>
    </x:row>
    <x:row r="468">
      <x:c r="A468" t="str">
        <x:v>CRB5466</x:v>
      </x:c>
      <x:c r="B468" t="str">
        <x:v>2026-07-10</x:v>
      </x:c>
      <x:c r="C468" t="str">
        <x:v>Rahul Mehta</x:v>
      </x:c>
      <x:c r="D468" t="str">
        <x:v>u3223</x:v>
      </x:c>
      <x:c r="E468" t="str">
        <x:v>Direct</x:v>
      </x:c>
      <x:c r="F468" t="str">
        <x:v>Udaipur</x:v>
      </x:c>
      <x:c r="G468" t="str">
        <x:v>Pottery</x:v>
      </x:c>
      <x:c r="H468" t="n">
        <x:v>10</x:v>
      </x:c>
      <x:c r="I468" t="n">
        <x:v>2000</x:v>
      </x:c>
      <x:c r="J468" t="str">
        <x:v>Completed</x:v>
      </x:c>
      <x:c r="K468" t="n">
        <x:f>H468*I468</x:f>
        <x:v>20000</x:v>
      </x:c>
      <x:c r="L468" s="16" t="n">
        <x:f>IF(J468="Completed",K468*0.80,0)</x:f>
        <x:v>16000</x:v>
      </x:c>
      <x:c r="M468" t="n">
        <x:v>4.1</x:v>
      </x:c>
      <x:c r="N468" t="str">
        <x:v>No</x:v>
      </x:c>
      <x:c r="O468" t="str">
        <x:v>Traveler Success</x:v>
      </x:c>
    </x:row>
    <x:row r="469">
      <x:c r="A469" t="str">
        <x:v>CRB5467</x:v>
      </x:c>
      <x:c r="B469" t="str">
        <x:v>2026-07-10</x:v>
      </x:c>
      <x:c r="C469" t="str">
        <x:v>Mark Thompson</x:v>
      </x:c>
      <x:c r="D469" t="str">
        <x:v>u3225</x:v>
      </x:c>
      <x:c r="E469" t="str">
        <x:v>Travel Blog</x:v>
      </x:c>
      <x:c r="F469" t="str">
        <x:v>Bangalore</x:v>
      </x:c>
      <x:c r="G469" t="str">
        <x:v>Weaving</x:v>
      </x:c>
      <x:c r="H469" t="n">
        <x:v>12</x:v>
      </x:c>
      <x:c r="I469" t="n">
        <x:v>2200</x:v>
      </x:c>
      <x:c r="J469" t="str">
        <x:v>Completed</x:v>
      </x:c>
      <x:c r="K469" t="n">
        <x:f>H469*I469</x:f>
        <x:v>26400</x:v>
      </x:c>
      <x:c r="L469" s="16" t="n">
        <x:f>IF(J469="Completed",K469*0.80,0)</x:f>
        <x:v>21120</x:v>
      </x:c>
      <x:c r="M469" t="n">
        <x:v>4.1</x:v>
      </x:c>
      <x:c r="N469" t="str">
        <x:v>No</x:v>
      </x:c>
      <x:c r="O469" t="str">
        <x:v>Customer Success</x:v>
      </x:c>
    </x:row>
    <x:row r="470">
      <x:c r="A470" t="str">
        <x:v>CRB5468</x:v>
      </x:c>
      <x:c r="B470" t="str">
        <x:v>2026-07-10</x:v>
      </x:c>
      <x:c r="C470" t="str">
        <x:v>Priya Sharma</x:v>
      </x:c>
      <x:c r="D470" t="str">
        <x:v>u3234</x:v>
      </x:c>
      <x:c r="E470" t="str">
        <x:v>Google Search</x:v>
      </x:c>
      <x:c r="F470" t="str">
        <x:v>Khurja</x:v>
      </x:c>
      <x:c r="G470" t="str">
        <x:v>Block Printing</x:v>
      </x:c>
      <x:c r="H470" t="n">
        <x:v>2</x:v>
      </x:c>
      <x:c r="I470" t="n">
        <x:v>3500</x:v>
      </x:c>
      <x:c r="J470" t="str">
        <x:v>Completed</x:v>
      </x:c>
      <x:c r="K470" t="n">
        <x:f>H470*I470</x:f>
        <x:v>7000</x:v>
      </x:c>
      <x:c r="L470" s="16" t="n">
        <x:f>IF(J470="Completed",K470*0.80,0)</x:f>
        <x:v>5600</x:v>
      </x:c>
      <x:c r="M470" t="n">
        <x:v>4</x:v>
      </x:c>
      <x:c r="N470" t="str">
        <x:v>No</x:v>
      </x:c>
      <x:c r="O470" t="str">
        <x:v>Revenue / Enterprise Team</x:v>
      </x:c>
    </x:row>
    <x:row r="471">
      <x:c r="A471" t="str">
        <x:v>CRB5469</x:v>
      </x:c>
      <x:c r="B471" t="str">
        <x:v>2026-07-10</x:v>
      </x:c>
      <x:c r="C471" t="str">
        <x:v>Ananya Reddy</x:v>
      </x:c>
      <x:c r="D471" t="str">
        <x:v>u3236</x:v>
      </x:c>
      <x:c r="E471" t="str">
        <x:v>Referral</x:v>
      </x:c>
      <x:c r="F471" t="str">
        <x:v>Khurja</x:v>
      </x:c>
      <x:c r="G471" t="str">
        <x:v>Weaving</x:v>
      </x:c>
      <x:c r="H471" t="n">
        <x:v>1</x:v>
      </x:c>
      <x:c r="I471" t="n">
        <x:v>2200</x:v>
      </x:c>
      <x:c r="J471" t="str">
        <x:v>Completed</x:v>
      </x:c>
      <x:c r="K471" t="n">
        <x:f>H471*I471</x:f>
        <x:v>2200</x:v>
      </x:c>
      <x:c r="L471" s="16" t="n">
        <x:f>IF(J471="Completed",K471*0.80,0)</x:f>
        <x:v>1760</x:v>
      </x:c>
      <x:c r="M471" t="n">
        <x:v>4</x:v>
      </x:c>
      <x:c r="N471" t="str">
        <x:v>No</x:v>
      </x:c>
      <x:c r="O471" t="str">
        <x:v>Revenue / Enterprise Team</x:v>
      </x:c>
    </x:row>
    <x:row r="472">
      <x:c r="A472" t="str">
        <x:v>CRB5470</x:v>
      </x:c>
      <x:c r="B472" t="str">
        <x:v>2026-07-10</x:v>
      </x:c>
      <x:c r="C472" t="str">
        <x:v>Ananya Reddy</x:v>
      </x:c>
      <x:c r="D472" t="str">
        <x:v>u3245</x:v>
      </x:c>
      <x:c r="E472" t="str">
        <x:v>Referral</x:v>
      </x:c>
      <x:c r="F472" t="str">
        <x:v>Varanasi</x:v>
      </x:c>
      <x:c r="G472" t="str">
        <x:v>Block Printing</x:v>
      </x:c>
      <x:c r="H472" t="n">
        <x:v>10</x:v>
      </x:c>
      <x:c r="I472" t="n">
        <x:v>3500</x:v>
      </x:c>
      <x:c r="J472" t="str">
        <x:v>Completed</x:v>
      </x:c>
      <x:c r="K472" t="n">
        <x:f>H472*I472</x:f>
        <x:v>35000</x:v>
      </x:c>
      <x:c r="L472" s="16" t="n">
        <x:f>IF(J472="Completed",K472*0.80,0)</x:f>
        <x:v>28000</x:v>
      </x:c>
      <x:c r="M472" t="n">
        <x:v>4.8</x:v>
      </x:c>
      <x:c r="N472" t="str">
        <x:v>No</x:v>
      </x:c>
      <x:c r="O472" t="str">
        <x:v>Customer Success</x:v>
      </x:c>
    </x:row>
    <x:row r="473">
      <x:c r="A473" t="str">
        <x:v>CRB5471</x:v>
      </x:c>
      <x:c r="B473" t="str">
        <x:v>2026-07-10</x:v>
      </x:c>
      <x:c r="C473" t="str">
        <x:v>Priya Sharma</x:v>
      </x:c>
      <x:c r="D473" t="str">
        <x:v>u3253</x:v>
      </x:c>
      <x:c r="E473" t="str">
        <x:v>Direct</x:v>
      </x:c>
      <x:c r="F473" t="str">
        <x:v>Khurja</x:v>
      </x:c>
      <x:c r="G473" t="str">
        <x:v>Block Printing</x:v>
      </x:c>
      <x:c r="H473" t="n">
        <x:v>4</x:v>
      </x:c>
      <x:c r="I473" t="n">
        <x:v>1500</x:v>
      </x:c>
      <x:c r="J473" t="str">
        <x:v>Completed</x:v>
      </x:c>
      <x:c r="K473" t="n">
        <x:f>H473*I473</x:f>
        <x:v>6000</x:v>
      </x:c>
      <x:c r="L473" s="16" t="n">
        <x:f>IF(J473="Completed",K473*0.80,0)</x:f>
        <x:v>4800</x:v>
      </x:c>
      <x:c r="M473" t="n">
        <x:v>4.4</x:v>
      </x:c>
      <x:c r="N473" t="str">
        <x:v>No</x:v>
      </x:c>
      <x:c r="O473" t="str">
        <x:v>Customer Success</x:v>
      </x:c>
    </x:row>
    <x:row r="474">
      <x:c r="A474" t="str">
        <x:v>CRB5472</x:v>
      </x:c>
      <x:c r="B474" t="str">
        <x:v>2026-07-10</x:v>
      </x:c>
      <x:c r="C474" t="str">
        <x:v>Rahul Mehta</x:v>
      </x:c>
      <x:c r="D474" t="str">
        <x:v>u3260</x:v>
      </x:c>
      <x:c r="E474" t="str">
        <x:v>Instagram</x:v>
      </x:c>
      <x:c r="F474" t="str">
        <x:v>Jaipur</x:v>
      </x:c>
      <x:c r="G474" t="str">
        <x:v>Weaving</x:v>
      </x:c>
      <x:c r="H474" t="n">
        <x:v>3</x:v>
      </x:c>
      <x:c r="I474" t="n">
        <x:v>2200</x:v>
      </x:c>
      <x:c r="J474" t="str">
        <x:v>Completed</x:v>
      </x:c>
      <x:c r="K474" t="n">
        <x:f>H474*I474</x:f>
        <x:v>6600</x:v>
      </x:c>
      <x:c r="L474" s="16" t="n">
        <x:f>IF(J474="Completed",K474*0.80,0)</x:f>
        <x:v>5280</x:v>
      </x:c>
      <x:c r="M474" t="n">
        <x:v>4.3</x:v>
      </x:c>
      <x:c r="N474" t="str">
        <x:v>No</x:v>
      </x:c>
      <x:c r="O474" t="str">
        <x:v>Traveler Success</x:v>
      </x:c>
    </x:row>
    <x:row r="475">
      <x:c r="A475" t="str">
        <x:v>CRB5473</x:v>
      </x:c>
      <x:c r="B475" t="str">
        <x:v>2026-07-10</x:v>
      </x:c>
      <x:c r="C475" t="str">
        <x:v>Sofia Martinez</x:v>
      </x:c>
      <x:c r="D475" t="str">
        <x:v>u3261</x:v>
      </x:c>
      <x:c r="E475" t="str">
        <x:v>Instagram</x:v>
      </x:c>
      <x:c r="F475" t="str">
        <x:v>Jaipur</x:v>
      </x:c>
      <x:c r="G475" t="str">
        <x:v>Pottery</x:v>
      </x:c>
      <x:c r="H475" t="n">
        <x:v>2</x:v>
      </x:c>
      <x:c r="I475" t="n">
        <x:v>1800</x:v>
      </x:c>
      <x:c r="J475" t="str">
        <x:v>Completed</x:v>
      </x:c>
      <x:c r="K475" t="n">
        <x:f>H475*I475</x:f>
        <x:v>3600</x:v>
      </x:c>
      <x:c r="L475" s="16" t="n">
        <x:f>IF(J475="Completed",K475*0.80,0)</x:f>
        <x:v>2880</x:v>
      </x:c>
      <x:c r="M475" t="n">
        <x:v>4.9</x:v>
      </x:c>
      <x:c r="N475" t="str">
        <x:v>Yes</x:v>
      </x:c>
      <x:c r="O475" t="str">
        <x:v>Traveler Success</x:v>
      </x:c>
    </x:row>
    <x:row r="476">
      <x:c r="A476" t="str">
        <x:v>CRB5474</x:v>
      </x:c>
      <x:c r="B476" t="str">
        <x:v>2026-07-10</x:v>
      </x:c>
      <x:c r="C476" t="str">
        <x:v>Sofia Martinez</x:v>
      </x:c>
      <x:c r="D476" t="str">
        <x:v>u3271</x:v>
      </x:c>
      <x:c r="E476" t="str">
        <x:v>Direct</x:v>
      </x:c>
      <x:c r="F476" t="str">
        <x:v>Varanasi</x:v>
      </x:c>
      <x:c r="G476" t="str">
        <x:v>Weaving</x:v>
      </x:c>
      <x:c r="H476" t="n">
        <x:v>2</x:v>
      </x:c>
      <x:c r="I476" t="n">
        <x:v>3500</x:v>
      </x:c>
      <x:c r="J476" t="str">
        <x:v>Completed</x:v>
      </x:c>
      <x:c r="K476" t="n">
        <x:f>H476*I476</x:f>
        <x:v>7000</x:v>
      </x:c>
      <x:c r="L476" s="16" t="n">
        <x:f>IF(J476="Completed",K476*0.80,0)</x:f>
        <x:v>5600</x:v>
      </x:c>
      <x:c r="M476" t="n">
        <x:v>4.3</x:v>
      </x:c>
      <x:c r="N476" t="str">
        <x:v>No</x:v>
      </x:c>
      <x:c r="O476" t="str">
        <x:v>Customer Success</x:v>
      </x:c>
    </x:row>
    <x:row r="477">
      <x:c r="A477" t="str">
        <x:v>CRB5475</x:v>
      </x:c>
      <x:c r="B477" t="str">
        <x:v>2026-07-10</x:v>
      </x:c>
      <x:c r="C477" t="str">
        <x:v>Mark Thompson</x:v>
      </x:c>
      <x:c r="D477" t="str">
        <x:v>u3272</x:v>
      </x:c>
      <x:c r="E477" t="str">
        <x:v>Travel Blog</x:v>
      </x:c>
      <x:c r="F477" t="str">
        <x:v>Jaipur</x:v>
      </x:c>
      <x:c r="G477" t="str">
        <x:v>Weaving</x:v>
      </x:c>
      <x:c r="H477" t="n">
        <x:v>12</x:v>
      </x:c>
      <x:c r="I477" t="n">
        <x:v>2200</x:v>
      </x:c>
      <x:c r="J477" t="str">
        <x:v>Completed</x:v>
      </x:c>
      <x:c r="K477" t="n">
        <x:f>H477*I477</x:f>
        <x:v>26400</x:v>
      </x:c>
      <x:c r="L477" s="16" t="n">
        <x:f>IF(J477="Completed",K477*0.80,0)</x:f>
        <x:v>21120</x:v>
      </x:c>
      <x:c r="M477" t="n">
        <x:v>4.8</x:v>
      </x:c>
      <x:c r="N477" t="str">
        <x:v>No</x:v>
      </x:c>
      <x:c r="O477" t="str">
        <x:v>Revenue / Enterprise Team</x:v>
      </x:c>
    </x:row>
    <x:row r="478">
      <x:c r="A478" t="str">
        <x:v>CRB5476</x:v>
      </x:c>
      <x:c r="B478" t="str">
        <x:v>2026-07-10</x:v>
      </x:c>
      <x:c r="C478" t="str">
        <x:v>Rahul Mehta</x:v>
      </x:c>
      <x:c r="D478" t="str">
        <x:v>u3276</x:v>
      </x:c>
      <x:c r="E478" t="str">
        <x:v>Google Search</x:v>
      </x:c>
      <x:c r="F478" t="str">
        <x:v>Jaipur</x:v>
      </x:c>
      <x:c r="G478" t="str">
        <x:v>Block Printing</x:v>
      </x:c>
      <x:c r="H478" t="n">
        <x:v>6</x:v>
      </x:c>
      <x:c r="I478" t="n">
        <x:v>3000</x:v>
      </x:c>
      <x:c r="J478" t="str">
        <x:v>Completed</x:v>
      </x:c>
      <x:c r="K478" t="n">
        <x:f>H478*I478</x:f>
        <x:v>18000</x:v>
      </x:c>
      <x:c r="L478" s="16" t="n">
        <x:f>IF(J478="Completed",K478*0.80,0)</x:f>
        <x:v>14400</x:v>
      </x:c>
      <x:c r="M478" t="n">
        <x:v>4.2</x:v>
      </x:c>
      <x:c r="N478" t="str">
        <x:v>Yes</x:v>
      </x:c>
      <x:c r="O478" t="str">
        <x:v>Traveler Success</x:v>
      </x:c>
    </x:row>
    <x:row r="479">
      <x:c r="A479" t="str">
        <x:v>CRB5477</x:v>
      </x:c>
      <x:c r="B479" t="str">
        <x:v>2026-07-10</x:v>
      </x:c>
      <x:c r="C479" t="str">
        <x:v>Mark Thompson</x:v>
      </x:c>
      <x:c r="D479" t="str">
        <x:v>u3287</x:v>
      </x:c>
      <x:c r="E479" t="str">
        <x:v>Instagram</x:v>
      </x:c>
      <x:c r="F479" t="str">
        <x:v>Jaipur</x:v>
      </x:c>
      <x:c r="G479" t="str">
        <x:v>Block Printing</x:v>
      </x:c>
      <x:c r="H479" t="n">
        <x:v>12</x:v>
      </x:c>
      <x:c r="I479" t="n">
        <x:v>1800</x:v>
      </x:c>
      <x:c r="J479" t="str">
        <x:v>Completed</x:v>
      </x:c>
      <x:c r="K479" t="n">
        <x:f>H479*I479</x:f>
        <x:v>21600</x:v>
      </x:c>
      <x:c r="L479" s="16" t="n">
        <x:f>IF(J479="Completed",K479*0.80,0)</x:f>
        <x:v>17280</x:v>
      </x:c>
      <x:c r="M479" t="n">
        <x:v>4.7</x:v>
      </x:c>
      <x:c r="N479" t="str">
        <x:v>No</x:v>
      </x:c>
      <x:c r="O479" t="str">
        <x:v>Revenue / Enterprise Team</x:v>
      </x:c>
    </x:row>
    <x:row r="480">
      <x:c r="A480" t="str">
        <x:v>CRB5478</x:v>
      </x:c>
      <x:c r="B480" t="str">
        <x:v>2026-07-10</x:v>
      </x:c>
      <x:c r="C480" t="str">
        <x:v>Priya Sharma</x:v>
      </x:c>
      <x:c r="D480" t="str">
        <x:v>u3289</x:v>
      </x:c>
      <x:c r="E480" t="str">
        <x:v>Direct</x:v>
      </x:c>
      <x:c r="F480" t="str">
        <x:v>Bangalore</x:v>
      </x:c>
      <x:c r="G480" t="str">
        <x:v>Weaving</x:v>
      </x:c>
      <x:c r="H480" t="n">
        <x:v>1</x:v>
      </x:c>
      <x:c r="I480" t="n">
        <x:v>2000</x:v>
      </x:c>
      <x:c r="J480" t="str">
        <x:v>Completed</x:v>
      </x:c>
      <x:c r="K480" t="n">
        <x:f>H480*I480</x:f>
        <x:v>2000</x:v>
      </x:c>
      <x:c r="L480" s="16" t="n">
        <x:f>IF(J480="Completed",K480*0.80,0)</x:f>
        <x:v>1600</x:v>
      </x:c>
      <x:c r="M480" t="n">
        <x:v>3.9</x:v>
      </x:c>
      <x:c r="N480" t="str">
        <x:v>No</x:v>
      </x:c>
      <x:c r="O480" t="str">
        <x:v>Customer Success</x:v>
      </x:c>
    </x:row>
    <x:row r="481">
      <x:c r="A481" t="str">
        <x:v>CRB5479</x:v>
      </x:c>
      <x:c r="B481" t="str">
        <x:v>2026-07-10</x:v>
      </x:c>
      <x:c r="C481" t="str">
        <x:v>Mark Thompson</x:v>
      </x:c>
      <x:c r="D481" t="str">
        <x:v>u3294</x:v>
      </x:c>
      <x:c r="E481" t="str">
        <x:v>Referral</x:v>
      </x:c>
      <x:c r="F481" t="str">
        <x:v>Khurja</x:v>
      </x:c>
      <x:c r="G481" t="str">
        <x:v>Block Printing</x:v>
      </x:c>
      <x:c r="H481" t="n">
        <x:v>4</x:v>
      </x:c>
      <x:c r="I481" t="n">
        <x:v>1800</x:v>
      </x:c>
      <x:c r="J481" t="str">
        <x:v>Completed</x:v>
      </x:c>
      <x:c r="K481" t="n">
        <x:f>H481*I481</x:f>
        <x:v>7200</x:v>
      </x:c>
      <x:c r="L481" s="16" t="n">
        <x:f>IF(J481="Completed",K481*0.80,0)</x:f>
        <x:v>5760</x:v>
      </x:c>
      <x:c r="M481" t="n">
        <x:v>4.7</x:v>
      </x:c>
      <x:c r="N481" t="str">
        <x:v>No</x:v>
      </x:c>
      <x:c r="O481" t="str">
        <x:v>Revenue / Enterprise Team</x:v>
      </x:c>
    </x:row>
    <x:row r="482">
      <x:c r="A482" t="str">
        <x:v>CRB5480</x:v>
      </x:c>
      <x:c r="B482" t="str">
        <x:v>2026-07-10</x:v>
      </x:c>
      <x:c r="C482" t="str">
        <x:v>Sofia Martinez</x:v>
      </x:c>
      <x:c r="D482" t="str">
        <x:v>u3304</x:v>
      </x:c>
      <x:c r="E482" t="str">
        <x:v>Instagram</x:v>
      </x:c>
      <x:c r="F482" t="str">
        <x:v>Khurja</x:v>
      </x:c>
      <x:c r="G482" t="str">
        <x:v>Warli Painting</x:v>
      </x:c>
      <x:c r="H482" t="n">
        <x:v>1</x:v>
      </x:c>
      <x:c r="I482" t="n">
        <x:v>1800</x:v>
      </x:c>
      <x:c r="J482" t="str">
        <x:v>No-show</x:v>
      </x:c>
      <x:c r="K482" t="n">
        <x:f>H482*I482</x:f>
        <x:v>1800</x:v>
      </x:c>
      <x:c r="L482" s="16" t="n">
        <x:f>IF(J482="Completed",K482*0.80,0)</x:f>
        <x:v>0</x:v>
      </x:c>
      <x:c r="M482" t="str"/>
      <x:c r="N482" t="str">
        <x:v>No</x:v>
      </x:c>
      <x:c r="O482" t="str">
        <x:v>Customer Success</x:v>
      </x:c>
    </x:row>
    <x:row r="483">
      <x:c r="A483" t="str">
        <x:v>CRB5481</x:v>
      </x:c>
      <x:c r="B483" t="str">
        <x:v>2026-07-10</x:v>
      </x:c>
      <x:c r="C483" t="str">
        <x:v>Mark Thompson</x:v>
      </x:c>
      <x:c r="D483" t="str">
        <x:v>u3310</x:v>
      </x:c>
      <x:c r="E483" t="str">
        <x:v>Instagram</x:v>
      </x:c>
      <x:c r="F483" t="str">
        <x:v>Udaipur</x:v>
      </x:c>
      <x:c r="G483" t="str">
        <x:v>Block Printing</x:v>
      </x:c>
      <x:c r="H483" t="n">
        <x:v>2</x:v>
      </x:c>
      <x:c r="I483" t="n">
        <x:v>1800</x:v>
      </x:c>
      <x:c r="J483" t="str">
        <x:v>Cancelled</x:v>
      </x:c>
      <x:c r="K483" t="n">
        <x:f>H483*I483</x:f>
        <x:v>3600</x:v>
      </x:c>
      <x:c r="L483" s="16" t="n">
        <x:f>IF(J483="Completed",K483*0.80,0)</x:f>
        <x:v>0</x:v>
      </x:c>
      <x:c r="M483" t="str"/>
      <x:c r="N483" t="str">
        <x:v>No</x:v>
      </x:c>
      <x:c r="O483" t="str">
        <x:v>Revenue / Enterprise Team</x:v>
      </x:c>
    </x:row>
    <x:row r="484">
      <x:c r="A484" t="str">
        <x:v>CRB5482</x:v>
      </x:c>
      <x:c r="B484" t="str">
        <x:v>2026-07-10</x:v>
      </x:c>
      <x:c r="C484" t="str">
        <x:v>Mark Thompson</x:v>
      </x:c>
      <x:c r="D484" t="str">
        <x:v>u3313</x:v>
      </x:c>
      <x:c r="E484" t="str">
        <x:v>Direct</x:v>
      </x:c>
      <x:c r="F484" t="str">
        <x:v>Bangalore</x:v>
      </x:c>
      <x:c r="G484" t="str">
        <x:v>Block Printing</x:v>
      </x:c>
      <x:c r="H484" t="n">
        <x:v>1</x:v>
      </x:c>
      <x:c r="I484" t="n">
        <x:v>1800</x:v>
      </x:c>
      <x:c r="J484" t="str">
        <x:v>Completed</x:v>
      </x:c>
      <x:c r="K484" t="n">
        <x:f>H484*I484</x:f>
        <x:v>1800</x:v>
      </x:c>
      <x:c r="L484" s="16" t="n">
        <x:f>IF(J484="Completed",K484*0.80,0)</x:f>
        <x:v>1440</x:v>
      </x:c>
      <x:c r="M484" t="n">
        <x:v>4.7</x:v>
      </x:c>
      <x:c r="N484" t="str">
        <x:v>No</x:v>
      </x:c>
      <x:c r="O484" t="str">
        <x:v>Traveler Success</x:v>
      </x:c>
    </x:row>
    <x:row r="485">
      <x:c r="A485" t="str">
        <x:v>CRB5483</x:v>
      </x:c>
      <x:c r="B485" t="str">
        <x:v>2026-07-10</x:v>
      </x:c>
      <x:c r="C485" t="str">
        <x:v>Mark Thompson</x:v>
      </x:c>
      <x:c r="D485" t="str">
        <x:v>u3324</x:v>
      </x:c>
      <x:c r="E485" t="str">
        <x:v>Referral</x:v>
      </x:c>
      <x:c r="F485" t="str">
        <x:v>Varanasi</x:v>
      </x:c>
      <x:c r="G485" t="str">
        <x:v>Pottery</x:v>
      </x:c>
      <x:c r="H485" t="n">
        <x:v>6</x:v>
      </x:c>
      <x:c r="I485" t="n">
        <x:v>1500</x:v>
      </x:c>
      <x:c r="J485" t="str">
        <x:v>No-show</x:v>
      </x:c>
      <x:c r="K485" t="n">
        <x:f>H485*I485</x:f>
        <x:v>9000</x:v>
      </x:c>
      <x:c r="L485" s="16" t="n">
        <x:f>IF(J485="Completed",K485*0.80,0)</x:f>
        <x:v>0</x:v>
      </x:c>
      <x:c r="M485" t="str"/>
      <x:c r="N485" t="str">
        <x:v>No</x:v>
      </x:c>
      <x:c r="O485" t="str">
        <x:v>Customer Success</x:v>
      </x:c>
    </x:row>
    <x:row r="486">
      <x:c r="A486" t="str">
        <x:v>CRB5484</x:v>
      </x:c>
      <x:c r="B486" t="str">
        <x:v>2026-07-10</x:v>
      </x:c>
      <x:c r="C486" t="str">
        <x:v>Priya Sharma</x:v>
      </x:c>
      <x:c r="D486" t="str">
        <x:v>u3335</x:v>
      </x:c>
      <x:c r="E486" t="str">
        <x:v>Instagram</x:v>
      </x:c>
      <x:c r="F486" t="str">
        <x:v>Varanasi</x:v>
      </x:c>
      <x:c r="G486" t="str">
        <x:v>Block Printing</x:v>
      </x:c>
      <x:c r="H486" t="n">
        <x:v>2</x:v>
      </x:c>
      <x:c r="I486" t="n">
        <x:v>1800</x:v>
      </x:c>
      <x:c r="J486" t="str">
        <x:v>Completed</x:v>
      </x:c>
      <x:c r="K486" t="n">
        <x:f>H486*I486</x:f>
        <x:v>3600</x:v>
      </x:c>
      <x:c r="L486" s="16" t="n">
        <x:f>IF(J486="Completed",K486*0.80,0)</x:f>
        <x:v>2880</x:v>
      </x:c>
      <x:c r="M486" t="n">
        <x:v>3.9</x:v>
      </x:c>
      <x:c r="N486" t="str">
        <x:v>No</x:v>
      </x:c>
      <x:c r="O486" t="str">
        <x:v>Customer Success</x:v>
      </x:c>
    </x:row>
    <x:row r="487">
      <x:c r="A487" t="str">
        <x:v>CRB5485</x:v>
      </x:c>
      <x:c r="B487" t="str">
        <x:v>2026-07-10</x:v>
      </x:c>
      <x:c r="C487" t="str">
        <x:v>Sofia Martinez</x:v>
      </x:c>
      <x:c r="D487" t="str">
        <x:v>u3339</x:v>
      </x:c>
      <x:c r="E487" t="str">
        <x:v>Instagram</x:v>
      </x:c>
      <x:c r="F487" t="str">
        <x:v>Varanasi</x:v>
      </x:c>
      <x:c r="G487" t="str">
        <x:v>Weaving</x:v>
      </x:c>
      <x:c r="H487" t="n">
        <x:v>1</x:v>
      </x:c>
      <x:c r="I487" t="n">
        <x:v>1500</x:v>
      </x:c>
      <x:c r="J487" t="str">
        <x:v>Completed</x:v>
      </x:c>
      <x:c r="K487" t="n">
        <x:f>H487*I487</x:f>
        <x:v>1500</x:v>
      </x:c>
      <x:c r="L487" s="16" t="n">
        <x:f>IF(J487="Completed",K487*0.80,0)</x:f>
        <x:v>1200</x:v>
      </x:c>
      <x:c r="M487" t="n">
        <x:v>4.8</x:v>
      </x:c>
      <x:c r="N487" t="str">
        <x:v>Yes</x:v>
      </x:c>
      <x:c r="O487" t="str">
        <x:v>Customer Success</x:v>
      </x:c>
    </x:row>
    <x:row r="488">
      <x:c r="A488" t="str">
        <x:v>CRB5486</x:v>
      </x:c>
      <x:c r="B488" t="str">
        <x:v>2026-07-10</x:v>
      </x:c>
      <x:c r="C488" t="str">
        <x:v>Priya Sharma</x:v>
      </x:c>
      <x:c r="D488" t="str">
        <x:v>u3340</x:v>
      </x:c>
      <x:c r="E488" t="str">
        <x:v>Google Search</x:v>
      </x:c>
      <x:c r="F488" t="str">
        <x:v>Bangalore</x:v>
      </x:c>
      <x:c r="G488" t="str">
        <x:v>Warli Painting</x:v>
      </x:c>
      <x:c r="H488" t="n">
        <x:v>2</x:v>
      </x:c>
      <x:c r="I488" t="n">
        <x:v>3000</x:v>
      </x:c>
      <x:c r="J488" t="str">
        <x:v>Cancelled</x:v>
      </x:c>
      <x:c r="K488" t="n">
        <x:f>H488*I488</x:f>
        <x:v>6000</x:v>
      </x:c>
      <x:c r="L488" s="16" t="n">
        <x:f>IF(J488="Completed",K488*0.80,0)</x:f>
        <x:v>0</x:v>
      </x:c>
      <x:c r="M488" t="str"/>
      <x:c r="N488" t="str">
        <x:v>Yes</x:v>
      </x:c>
      <x:c r="O488" t="str">
        <x:v>Customer Success</x:v>
      </x:c>
    </x:row>
    <x:row r="489">
      <x:c r="A489" t="str">
        <x:v>CRB5487</x:v>
      </x:c>
      <x:c r="B489" t="str">
        <x:v>2026-07-10</x:v>
      </x:c>
      <x:c r="C489" t="str">
        <x:v>Rahul Mehta</x:v>
      </x:c>
      <x:c r="D489" t="str">
        <x:v>u3343</x:v>
      </x:c>
      <x:c r="E489" t="str">
        <x:v>Referral</x:v>
      </x:c>
      <x:c r="F489" t="str">
        <x:v>Bangalore</x:v>
      </x:c>
      <x:c r="G489" t="str">
        <x:v>Pottery</x:v>
      </x:c>
      <x:c r="H489" t="n">
        <x:v>10</x:v>
      </x:c>
      <x:c r="I489" t="n">
        <x:v>1800</x:v>
      </x:c>
      <x:c r="J489" t="str">
        <x:v>Completed</x:v>
      </x:c>
      <x:c r="K489" t="n">
        <x:f>H489*I489</x:f>
        <x:v>18000</x:v>
      </x:c>
      <x:c r="L489" s="16" t="n">
        <x:f>IF(J489="Completed",K489*0.80,0)</x:f>
        <x:v>14400</x:v>
      </x:c>
      <x:c r="M489" t="n">
        <x:v>4</x:v>
      </x:c>
      <x:c r="N489" t="str">
        <x:v>No</x:v>
      </x:c>
      <x:c r="O489" t="str">
        <x:v>Revenue / Enterprise Team</x:v>
      </x:c>
    </x:row>
    <x:row r="490">
      <x:c r="A490" t="str">
        <x:v>CRB5488</x:v>
      </x:c>
      <x:c r="B490" t="str">
        <x:v>2026-07-10</x:v>
      </x:c>
      <x:c r="C490" t="str">
        <x:v>Sofia Martinez</x:v>
      </x:c>
      <x:c r="D490" t="str">
        <x:v>u3349</x:v>
      </x:c>
      <x:c r="E490" t="str">
        <x:v>Instagram</x:v>
      </x:c>
      <x:c r="F490" t="str">
        <x:v>Udaipur</x:v>
      </x:c>
      <x:c r="G490" t="str">
        <x:v>Pottery</x:v>
      </x:c>
      <x:c r="H490" t="n">
        <x:v>1</x:v>
      </x:c>
      <x:c r="I490" t="n">
        <x:v>3000</x:v>
      </x:c>
      <x:c r="J490" t="str">
        <x:v>Completed</x:v>
      </x:c>
      <x:c r="K490" t="n">
        <x:f>H490*I490</x:f>
        <x:v>3000</x:v>
      </x:c>
      <x:c r="L490" s="16" t="n">
        <x:f>IF(J490="Completed",K490*0.80,0)</x:f>
        <x:v>2400</x:v>
      </x:c>
      <x:c r="M490" t="n">
        <x:v>4.6</x:v>
      </x:c>
      <x:c r="N490" t="str">
        <x:v>Yes</x:v>
      </x:c>
      <x:c r="O490" t="str">
        <x:v>Customer Success</x:v>
      </x:c>
    </x:row>
    <x:row r="491">
      <x:c r="A491" t="str">
        <x:v>CRB5489</x:v>
      </x:c>
      <x:c r="B491" t="str">
        <x:v>2026-07-11</x:v>
      </x:c>
      <x:c r="C491" t="str">
        <x:v>Mark Thompson</x:v>
      </x:c>
      <x:c r="D491" t="str">
        <x:v>u3368</x:v>
      </x:c>
      <x:c r="E491" t="str">
        <x:v>Referral</x:v>
      </x:c>
      <x:c r="F491" t="str">
        <x:v>Bangalore</x:v>
      </x:c>
      <x:c r="G491" t="str">
        <x:v>Blue Pottery</x:v>
      </x:c>
      <x:c r="H491" t="n">
        <x:v>2</x:v>
      </x:c>
      <x:c r="I491" t="n">
        <x:v>3000</x:v>
      </x:c>
      <x:c r="J491" t="str">
        <x:v>Completed</x:v>
      </x:c>
      <x:c r="K491" t="n">
        <x:f>H491*I491</x:f>
        <x:v>6000</x:v>
      </x:c>
      <x:c r="L491" s="16" t="n">
        <x:f>IF(J491="Completed",K491*0.80,0)</x:f>
        <x:v>4800</x:v>
      </x:c>
      <x:c r="M491" t="n">
        <x:v>4.1</x:v>
      </x:c>
      <x:c r="N491" t="str">
        <x:v>No</x:v>
      </x:c>
      <x:c r="O491" t="str">
        <x:v>Revenue / Enterprise Team</x:v>
      </x:c>
    </x:row>
    <x:row r="492">
      <x:c r="A492" t="str">
        <x:v>CRB5490</x:v>
      </x:c>
      <x:c r="B492" t="str">
        <x:v>2026-07-11</x:v>
      </x:c>
      <x:c r="C492" t="str">
        <x:v>Ananya Reddy</x:v>
      </x:c>
      <x:c r="D492" t="str">
        <x:v>u3369</x:v>
      </x:c>
      <x:c r="E492" t="str">
        <x:v>Travel Blog</x:v>
      </x:c>
      <x:c r="F492" t="str">
        <x:v>Bangalore</x:v>
      </x:c>
      <x:c r="G492" t="str">
        <x:v>Warli Painting</x:v>
      </x:c>
      <x:c r="H492" t="n">
        <x:v>3</x:v>
      </x:c>
      <x:c r="I492" t="n">
        <x:v>1800</x:v>
      </x:c>
      <x:c r="J492" t="str">
        <x:v>Completed</x:v>
      </x:c>
      <x:c r="K492" t="n">
        <x:f>H492*I492</x:f>
        <x:v>5400</x:v>
      </x:c>
      <x:c r="L492" s="16" t="n">
        <x:f>IF(J492="Completed",K492*0.80,0)</x:f>
        <x:v>4320</x:v>
      </x:c>
      <x:c r="M492" t="n">
        <x:v>4.2</x:v>
      </x:c>
      <x:c r="N492" t="str">
        <x:v>No</x:v>
      </x:c>
      <x:c r="O492" t="str">
        <x:v>Customer Success</x:v>
      </x:c>
    </x:row>
    <x:row r="493">
      <x:c r="A493" t="str">
        <x:v>CRB5491</x:v>
      </x:c>
      <x:c r="B493" t="str">
        <x:v>2026-07-11</x:v>
      </x:c>
      <x:c r="C493" t="str">
        <x:v>Rahul Mehta</x:v>
      </x:c>
      <x:c r="D493" t="str">
        <x:v>u3370</x:v>
      </x:c>
      <x:c r="E493" t="str">
        <x:v>Google Search</x:v>
      </x:c>
      <x:c r="F493" t="str">
        <x:v>Udaipur</x:v>
      </x:c>
      <x:c r="G493" t="str">
        <x:v>Warli Painting</x:v>
      </x:c>
      <x:c r="H493" t="n">
        <x:v>2</x:v>
      </x:c>
      <x:c r="I493" t="n">
        <x:v>1800</x:v>
      </x:c>
      <x:c r="J493" t="str">
        <x:v>Completed</x:v>
      </x:c>
      <x:c r="K493" t="n">
        <x:f>H493*I493</x:f>
        <x:v>3600</x:v>
      </x:c>
      <x:c r="L493" s="16" t="n">
        <x:f>IF(J493="Completed",K493*0.80,0)</x:f>
        <x:v>2880</x:v>
      </x:c>
      <x:c r="M493" t="n">
        <x:v>4.4</x:v>
      </x:c>
      <x:c r="N493" t="str">
        <x:v>Yes</x:v>
      </x:c>
      <x:c r="O493" t="str">
        <x:v>Traveler Success</x:v>
      </x:c>
    </x:row>
    <x:row r="494">
      <x:c r="A494" t="str">
        <x:v>CRB5492</x:v>
      </x:c>
      <x:c r="B494" t="str">
        <x:v>2026-07-11</x:v>
      </x:c>
      <x:c r="C494" t="str">
        <x:v>Mark Thompson</x:v>
      </x:c>
      <x:c r="D494" t="str">
        <x:v>u3371</x:v>
      </x:c>
      <x:c r="E494" t="str">
        <x:v>Direct</x:v>
      </x:c>
      <x:c r="F494" t="str">
        <x:v>Udaipur</x:v>
      </x:c>
      <x:c r="G494" t="str">
        <x:v>Pottery</x:v>
      </x:c>
      <x:c r="H494" t="n">
        <x:v>1</x:v>
      </x:c>
      <x:c r="I494" t="n">
        <x:v>2000</x:v>
      </x:c>
      <x:c r="J494" t="str">
        <x:v>Completed</x:v>
      </x:c>
      <x:c r="K494" t="n">
        <x:f>H494*I494</x:f>
        <x:v>2000</x:v>
      </x:c>
      <x:c r="L494" s="16" t="n">
        <x:f>IF(J494="Completed",K494*0.80,0)</x:f>
        <x:v>1600</x:v>
      </x:c>
      <x:c r="M494" t="n">
        <x:v>3.9</x:v>
      </x:c>
      <x:c r="N494" t="str">
        <x:v>No</x:v>
      </x:c>
      <x:c r="O494" t="str">
        <x:v>Traveler Success</x:v>
      </x:c>
    </x:row>
    <x:row r="495">
      <x:c r="A495" t="str">
        <x:v>CRB5493</x:v>
      </x:c>
      <x:c r="B495" t="str">
        <x:v>2026-07-11</x:v>
      </x:c>
      <x:c r="C495" t="str">
        <x:v>Priya Sharma</x:v>
      </x:c>
      <x:c r="D495" t="str">
        <x:v>u3372</x:v>
      </x:c>
      <x:c r="E495" t="str">
        <x:v>Instagram</x:v>
      </x:c>
      <x:c r="F495" t="str">
        <x:v>Varanasi</x:v>
      </x:c>
      <x:c r="G495" t="str">
        <x:v>Pottery</x:v>
      </x:c>
      <x:c r="H495" t="n">
        <x:v>3</x:v>
      </x:c>
      <x:c r="I495" t="n">
        <x:v>1500</x:v>
      </x:c>
      <x:c r="J495" t="str">
        <x:v>Completed</x:v>
      </x:c>
      <x:c r="K495" t="n">
        <x:f>H495*I495</x:f>
        <x:v>4500</x:v>
      </x:c>
      <x:c r="L495" s="16" t="n">
        <x:f>IF(J495="Completed",K495*0.80,0)</x:f>
        <x:v>3600</x:v>
      </x:c>
      <x:c r="M495" t="n">
        <x:v>4</x:v>
      </x:c>
      <x:c r="N495" t="str">
        <x:v>No</x:v>
      </x:c>
      <x:c r="O495" t="str">
        <x:v>Traveler Success</x:v>
      </x:c>
    </x:row>
    <x:row r="496">
      <x:c r="A496" t="str">
        <x:v>CRB5494</x:v>
      </x:c>
      <x:c r="B496" t="str">
        <x:v>2026-07-11</x:v>
      </x:c>
      <x:c r="C496" t="str">
        <x:v>Priya Sharma</x:v>
      </x:c>
      <x:c r="D496" t="str">
        <x:v>u3375</x:v>
      </x:c>
      <x:c r="E496" t="str">
        <x:v>Referral</x:v>
      </x:c>
      <x:c r="F496" t="str">
        <x:v>Udaipur</x:v>
      </x:c>
      <x:c r="G496" t="str">
        <x:v>Warli Painting</x:v>
      </x:c>
      <x:c r="H496" t="n">
        <x:v>1</x:v>
      </x:c>
      <x:c r="I496" t="n">
        <x:v>3000</x:v>
      </x:c>
      <x:c r="J496" t="str">
        <x:v>Completed</x:v>
      </x:c>
      <x:c r="K496" t="n">
        <x:f>H496*I496</x:f>
        <x:v>3000</x:v>
      </x:c>
      <x:c r="L496" s="16" t="n">
        <x:f>IF(J496="Completed",K496*0.80,0)</x:f>
        <x:v>2400</x:v>
      </x:c>
      <x:c r="M496" t="n">
        <x:v>4</x:v>
      </x:c>
      <x:c r="N496" t="str">
        <x:v>No</x:v>
      </x:c>
      <x:c r="O496" t="str">
        <x:v>Traveler Success</x:v>
      </x:c>
    </x:row>
    <x:row r="497">
      <x:c r="A497" t="str">
        <x:v>CRB5495</x:v>
      </x:c>
      <x:c r="B497" t="str">
        <x:v>2026-07-11</x:v>
      </x:c>
      <x:c r="C497" t="str">
        <x:v>Mark Thompson</x:v>
      </x:c>
      <x:c r="D497" t="str">
        <x:v>u3376</x:v>
      </x:c>
      <x:c r="E497" t="str">
        <x:v>Google Search</x:v>
      </x:c>
      <x:c r="F497" t="str">
        <x:v>Khurja</x:v>
      </x:c>
      <x:c r="G497" t="str">
        <x:v>Pottery</x:v>
      </x:c>
      <x:c r="H497" t="n">
        <x:v>2</x:v>
      </x:c>
      <x:c r="I497" t="n">
        <x:v>1500</x:v>
      </x:c>
      <x:c r="J497" t="str">
        <x:v>Completed</x:v>
      </x:c>
      <x:c r="K497" t="n">
        <x:f>H497*I497</x:f>
        <x:v>3000</x:v>
      </x:c>
      <x:c r="L497" s="16" t="n">
        <x:f>IF(J497="Completed",K497*0.80,0)</x:f>
        <x:v>2400</x:v>
      </x:c>
      <x:c r="M497" t="n">
        <x:v>4</x:v>
      </x:c>
      <x:c r="N497" t="str">
        <x:v>No</x:v>
      </x:c>
      <x:c r="O497" t="str">
        <x:v>Traveler Success</x:v>
      </x:c>
    </x:row>
    <x:row r="498">
      <x:c r="A498" t="str">
        <x:v>CRB5496</x:v>
      </x:c>
      <x:c r="B498" t="str">
        <x:v>2026-07-11</x:v>
      </x:c>
      <x:c r="C498" t="str">
        <x:v>Ananya Reddy</x:v>
      </x:c>
      <x:c r="D498" t="str">
        <x:v>u3377</x:v>
      </x:c>
      <x:c r="E498" t="str">
        <x:v>Instagram</x:v>
      </x:c>
      <x:c r="F498" t="str">
        <x:v>Khurja</x:v>
      </x:c>
      <x:c r="G498" t="str">
        <x:v>Blue Pottery</x:v>
      </x:c>
      <x:c r="H498" t="n">
        <x:v>2</x:v>
      </x:c>
      <x:c r="I498" t="n">
        <x:v>3000</x:v>
      </x:c>
      <x:c r="J498" t="str">
        <x:v>Completed</x:v>
      </x:c>
      <x:c r="K498" t="n">
        <x:f>H498*I498</x:f>
        <x:v>6000</x:v>
      </x:c>
      <x:c r="L498" s="16" t="n">
        <x:f>IF(J498="Completed",K498*0.80,0)</x:f>
        <x:v>4800</x:v>
      </x:c>
      <x:c r="M498" t="n">
        <x:v>3.9</x:v>
      </x:c>
      <x:c r="N498" t="str">
        <x:v>No</x:v>
      </x:c>
      <x:c r="O498" t="str">
        <x:v>Traveler Success</x:v>
      </x:c>
    </x:row>
    <x:row r="499">
      <x:c r="A499" t="str">
        <x:v>CRB5497</x:v>
      </x:c>
      <x:c r="B499" t="str">
        <x:v>2026-07-11</x:v>
      </x:c>
      <x:c r="C499" t="str">
        <x:v>Rahul Mehta</x:v>
      </x:c>
      <x:c r="D499" t="str">
        <x:v>u3381</x:v>
      </x:c>
      <x:c r="E499" t="str">
        <x:v>Google Search</x:v>
      </x:c>
      <x:c r="F499" t="str">
        <x:v>Bangalore</x:v>
      </x:c>
      <x:c r="G499" t="str">
        <x:v>Warli Painting</x:v>
      </x:c>
      <x:c r="H499" t="n">
        <x:v>2</x:v>
      </x:c>
      <x:c r="I499" t="n">
        <x:v>2500</x:v>
      </x:c>
      <x:c r="J499" t="str">
        <x:v>Completed</x:v>
      </x:c>
      <x:c r="K499" t="n">
        <x:f>H499*I499</x:f>
        <x:v>5000</x:v>
      </x:c>
      <x:c r="L499" s="16" t="n">
        <x:f>IF(J499="Completed",K499*0.80,0)</x:f>
        <x:v>4000</x:v>
      </x:c>
      <x:c r="M499" t="n">
        <x:v>4.2</x:v>
      </x:c>
      <x:c r="N499" t="str">
        <x:v>No</x:v>
      </x:c>
      <x:c r="O499" t="str">
        <x:v>Revenue / Enterprise Team</x:v>
      </x:c>
    </x:row>
    <x:row r="500">
      <x:c r="A500" t="str">
        <x:v>CRB5498</x:v>
      </x:c>
      <x:c r="B500" t="str">
        <x:v>2026-07-11</x:v>
      </x:c>
      <x:c r="C500" t="str">
        <x:v>Ananya Reddy</x:v>
      </x:c>
      <x:c r="D500" t="str">
        <x:v>u3384</x:v>
      </x:c>
      <x:c r="E500" t="str">
        <x:v>Instagram</x:v>
      </x:c>
      <x:c r="F500" t="str">
        <x:v>Khurja</x:v>
      </x:c>
      <x:c r="G500" t="str">
        <x:v>Warli Painting</x:v>
      </x:c>
      <x:c r="H500" t="n">
        <x:v>2</x:v>
      </x:c>
      <x:c r="I500" t="n">
        <x:v>1500</x:v>
      </x:c>
      <x:c r="J500" t="str">
        <x:v>Completed</x:v>
      </x:c>
      <x:c r="K500" t="n">
        <x:f>H500*I500</x:f>
        <x:v>3000</x:v>
      </x:c>
      <x:c r="L500" s="16" t="n">
        <x:f>IF(J500="Completed",K500*0.80,0)</x:f>
        <x:v>2400</x:v>
      </x:c>
      <x:c r="M500" t="n">
        <x:v>4.1</x:v>
      </x:c>
      <x:c r="N500" t="str">
        <x:v>No</x:v>
      </x:c>
      <x:c r="O500" t="str">
        <x:v>Traveler Success</x:v>
      </x:c>
    </x:row>
    <x:row r="501">
      <x:c r="A501" t="str">
        <x:v>CRB5499</x:v>
      </x:c>
      <x:c r="B501" t="str">
        <x:v>2026-07-11</x:v>
      </x:c>
      <x:c r="C501" t="str">
        <x:v>Ananya Reddy</x:v>
      </x:c>
      <x:c r="D501" t="str">
        <x:v>u3385</x:v>
      </x:c>
      <x:c r="E501" t="str">
        <x:v>Direct</x:v>
      </x:c>
      <x:c r="F501" t="str">
        <x:v>Bangalore</x:v>
      </x:c>
      <x:c r="G501" t="str">
        <x:v>Warli Painting</x:v>
      </x:c>
      <x:c r="H501" t="n">
        <x:v>6</x:v>
      </x:c>
      <x:c r="I501" t="n">
        <x:v>2500</x:v>
      </x:c>
      <x:c r="J501" t="str">
        <x:v>Completed</x:v>
      </x:c>
      <x:c r="K501" t="n">
        <x:f>H501*I501</x:f>
        <x:v>15000</x:v>
      </x:c>
      <x:c r="L501" s="16" t="n">
        <x:f>IF(J501="Completed",K501*0.80,0)</x:f>
        <x:v>12000</x:v>
      </x:c>
      <x:c r="M501" t="n">
        <x:v>4.2</x:v>
      </x:c>
      <x:c r="N501" t="str">
        <x:v>No</x:v>
      </x:c>
      <x:c r="O501" t="str">
        <x:v>Traveler Success</x:v>
      </x:c>
    </x:row>
    <x:row r="502">
      <x:c r="A502" t="str">
        <x:v>CRB5500</x:v>
      </x:c>
      <x:c r="B502" t="str">
        <x:v>2026-07-11</x:v>
      </x:c>
      <x:c r="C502" t="str">
        <x:v>Mark Thompson</x:v>
      </x:c>
      <x:c r="D502" t="str">
        <x:v>u3387</x:v>
      </x:c>
      <x:c r="E502" t="str">
        <x:v>Instagram</x:v>
      </x:c>
      <x:c r="F502" t="str">
        <x:v>Bangalore</x:v>
      </x:c>
      <x:c r="G502" t="str">
        <x:v>Pottery</x:v>
      </x:c>
      <x:c r="H502" t="n">
        <x:v>2</x:v>
      </x:c>
      <x:c r="I502" t="n">
        <x:v>3000</x:v>
      </x:c>
      <x:c r="J502" t="str">
        <x:v>Completed</x:v>
      </x:c>
      <x:c r="K502" t="n">
        <x:f>H502*I502</x:f>
        <x:v>6000</x:v>
      </x:c>
      <x:c r="L502" s="16" t="n">
        <x:f>IF(J502="Completed",K502*0.80,0)</x:f>
        <x:v>4800</x:v>
      </x:c>
      <x:c r="M502" t="n">
        <x:v>4.6</x:v>
      </x:c>
      <x:c r="N502" t="str">
        <x:v>Yes</x:v>
      </x:c>
      <x:c r="O502" t="str">
        <x:v>Traveler Success</x:v>
      </x:c>
    </x:row>
    <x:row r="503">
      <x:c r="A503" t="str">
        <x:v>CRB5501</x:v>
      </x:c>
      <x:c r="B503" t="str">
        <x:v>2026-07-11</x:v>
      </x:c>
      <x:c r="C503" t="str">
        <x:v>Priya Sharma</x:v>
      </x:c>
      <x:c r="D503" t="str">
        <x:v>u3391</x:v>
      </x:c>
      <x:c r="E503" t="str">
        <x:v>Instagram</x:v>
      </x:c>
      <x:c r="F503" t="str">
        <x:v>Udaipur</x:v>
      </x:c>
      <x:c r="G503" t="str">
        <x:v>Warli Painting</x:v>
      </x:c>
      <x:c r="H503" t="n">
        <x:v>1</x:v>
      </x:c>
      <x:c r="I503" t="n">
        <x:v>3000</x:v>
      </x:c>
      <x:c r="J503" t="str">
        <x:v>Completed</x:v>
      </x:c>
      <x:c r="K503" t="n">
        <x:f>H503*I503</x:f>
        <x:v>3000</x:v>
      </x:c>
      <x:c r="L503" s="16" t="n">
        <x:f>IF(J503="Completed",K503*0.80,0)</x:f>
        <x:v>2400</x:v>
      </x:c>
      <x:c r="M503" t="n">
        <x:v>4.3</x:v>
      </x:c>
      <x:c r="N503" t="str">
        <x:v>No</x:v>
      </x:c>
      <x:c r="O503" t="str">
        <x:v>Customer Success</x:v>
      </x:c>
    </x:row>
    <x:row r="504">
      <x:c r="A504" t="str">
        <x:v>CRB5502</x:v>
      </x:c>
      <x:c r="B504" t="str">
        <x:v>2026-07-11</x:v>
      </x:c>
      <x:c r="C504" t="str">
        <x:v>Ananya Reddy</x:v>
      </x:c>
      <x:c r="D504" t="str">
        <x:v>u3392</x:v>
      </x:c>
      <x:c r="E504" t="str">
        <x:v>Referral</x:v>
      </x:c>
      <x:c r="F504" t="str">
        <x:v>Khurja</x:v>
      </x:c>
      <x:c r="G504" t="str">
        <x:v>Block Printing</x:v>
      </x:c>
      <x:c r="H504" t="n">
        <x:v>12</x:v>
      </x:c>
      <x:c r="I504" t="n">
        <x:v>2000</x:v>
      </x:c>
      <x:c r="J504" t="str">
        <x:v>Completed</x:v>
      </x:c>
      <x:c r="K504" t="n">
        <x:f>H504*I504</x:f>
        <x:v>24000</x:v>
      </x:c>
      <x:c r="L504" s="16" t="n">
        <x:f>IF(J504="Completed",K504*0.80,0)</x:f>
        <x:v>19200</x:v>
      </x:c>
      <x:c r="M504" t="n">
        <x:v>3.9</x:v>
      </x:c>
      <x:c r="N504" t="str">
        <x:v>No</x:v>
      </x:c>
      <x:c r="O504" t="str">
        <x:v>Revenue / Enterprise Team</x:v>
      </x:c>
    </x:row>
    <x:row r="505">
      <x:c r="A505" t="str">
        <x:v>CRB5503</x:v>
      </x:c>
      <x:c r="B505" t="str">
        <x:v>2026-07-11</x:v>
      </x:c>
      <x:c r="C505" t="str">
        <x:v>Ananya Reddy</x:v>
      </x:c>
      <x:c r="D505" t="str">
        <x:v>u3393</x:v>
      </x:c>
      <x:c r="E505" t="str">
        <x:v>Direct</x:v>
      </x:c>
      <x:c r="F505" t="str">
        <x:v>Jaipur</x:v>
      </x:c>
      <x:c r="G505" t="str">
        <x:v>Weaving</x:v>
      </x:c>
      <x:c r="H505" t="n">
        <x:v>1</x:v>
      </x:c>
      <x:c r="I505" t="n">
        <x:v>1500</x:v>
      </x:c>
      <x:c r="J505" t="str">
        <x:v>Completed</x:v>
      </x:c>
      <x:c r="K505" t="n">
        <x:f>H505*I505</x:f>
        <x:v>1500</x:v>
      </x:c>
      <x:c r="L505" s="16" t="n">
        <x:f>IF(J505="Completed",K505*0.80,0)</x:f>
        <x:v>1200</x:v>
      </x:c>
      <x:c r="M505" t="n">
        <x:v>4.1</x:v>
      </x:c>
      <x:c r="N505" t="str">
        <x:v>No</x:v>
      </x:c>
      <x:c r="O505" t="str">
        <x:v>Customer Success</x:v>
      </x:c>
    </x:row>
    <x:row r="506">
      <x:c r="A506" t="str">
        <x:v>CRB5504</x:v>
      </x:c>
      <x:c r="B506" t="str">
        <x:v>2026-07-11</x:v>
      </x:c>
      <x:c r="C506" t="str">
        <x:v>Rahul Mehta</x:v>
      </x:c>
      <x:c r="D506" t="str">
        <x:v>u3394</x:v>
      </x:c>
      <x:c r="E506" t="str">
        <x:v>Referral</x:v>
      </x:c>
      <x:c r="F506" t="str">
        <x:v>Jaipur</x:v>
      </x:c>
      <x:c r="G506" t="str">
        <x:v>Weaving</x:v>
      </x:c>
      <x:c r="H506" t="n">
        <x:v>10</x:v>
      </x:c>
      <x:c r="I506" t="n">
        <x:v>2500</x:v>
      </x:c>
      <x:c r="J506" t="str">
        <x:v>Completed</x:v>
      </x:c>
      <x:c r="K506" t="n">
        <x:f>H506*I506</x:f>
        <x:v>25000</x:v>
      </x:c>
      <x:c r="L506" s="16" t="n">
        <x:f>IF(J506="Completed",K506*0.80,0)</x:f>
        <x:v>20000</x:v>
      </x:c>
      <x:c r="M506" t="n">
        <x:v>4.8</x:v>
      </x:c>
      <x:c r="N506" t="str">
        <x:v>No</x:v>
      </x:c>
      <x:c r="O506" t="str">
        <x:v>Customer Success</x:v>
      </x:c>
    </x:row>
    <x:row r="507">
      <x:c r="A507" t="str">
        <x:v>CRB5505</x:v>
      </x:c>
      <x:c r="B507" t="str">
        <x:v>2026-07-11</x:v>
      </x:c>
      <x:c r="C507" t="str">
        <x:v>Ananya Reddy</x:v>
      </x:c>
      <x:c r="D507" t="str">
        <x:v>u3395</x:v>
      </x:c>
      <x:c r="E507" t="str">
        <x:v>Referral</x:v>
      </x:c>
      <x:c r="F507" t="str">
        <x:v>Jaipur</x:v>
      </x:c>
      <x:c r="G507" t="str">
        <x:v>Weaving</x:v>
      </x:c>
      <x:c r="H507" t="n">
        <x:v>1</x:v>
      </x:c>
      <x:c r="I507" t="n">
        <x:v>2500</x:v>
      </x:c>
      <x:c r="J507" t="str">
        <x:v>Completed</x:v>
      </x:c>
      <x:c r="K507" t="n">
        <x:f>H507*I507</x:f>
        <x:v>2500</x:v>
      </x:c>
      <x:c r="L507" s="16" t="n">
        <x:f>IF(J507="Completed",K507*0.80,0)</x:f>
        <x:v>2000</x:v>
      </x:c>
      <x:c r="M507" t="n">
        <x:v>3.9</x:v>
      </x:c>
      <x:c r="N507" t="str">
        <x:v>No</x:v>
      </x:c>
      <x:c r="O507" t="str">
        <x:v>Customer Success</x:v>
      </x:c>
    </x:row>
    <x:row r="508">
      <x:c r="A508" t="str">
        <x:v>CRB5506</x:v>
      </x:c>
      <x:c r="B508" t="str">
        <x:v>2026-07-11</x:v>
      </x:c>
      <x:c r="C508" t="str">
        <x:v>Rahul Mehta</x:v>
      </x:c>
      <x:c r="D508" t="str">
        <x:v>u3397</x:v>
      </x:c>
      <x:c r="E508" t="str">
        <x:v>Instagram</x:v>
      </x:c>
      <x:c r="F508" t="str">
        <x:v>Bangalore</x:v>
      </x:c>
      <x:c r="G508" t="str">
        <x:v>Warli Painting</x:v>
      </x:c>
      <x:c r="H508" t="n">
        <x:v>1</x:v>
      </x:c>
      <x:c r="I508" t="n">
        <x:v>1500</x:v>
      </x:c>
      <x:c r="J508" t="str">
        <x:v>Completed</x:v>
      </x:c>
      <x:c r="K508" t="n">
        <x:f>H508*I508</x:f>
        <x:v>1500</x:v>
      </x:c>
      <x:c r="L508" s="16" t="n">
        <x:f>IF(J508="Completed",K508*0.80,0)</x:f>
        <x:v>1200</x:v>
      </x:c>
      <x:c r="M508" t="n">
        <x:v>4.4</x:v>
      </x:c>
      <x:c r="N508" t="str">
        <x:v>Yes</x:v>
      </x:c>
      <x:c r="O508" t="str">
        <x:v>Customer Success</x:v>
      </x:c>
    </x:row>
    <x:row r="509">
      <x:c r="A509" t="str">
        <x:v>CRB5507</x:v>
      </x:c>
      <x:c r="B509" t="str">
        <x:v>2026-07-11</x:v>
      </x:c>
      <x:c r="C509" t="str">
        <x:v>Mark Thompson</x:v>
      </x:c>
      <x:c r="D509" t="str">
        <x:v>u3400</x:v>
      </x:c>
      <x:c r="E509" t="str">
        <x:v>Direct</x:v>
      </x:c>
      <x:c r="F509" t="str">
        <x:v>Jaipur</x:v>
      </x:c>
      <x:c r="G509" t="str">
        <x:v>Blue Pottery</x:v>
      </x:c>
      <x:c r="H509" t="n">
        <x:v>10</x:v>
      </x:c>
      <x:c r="I509" t="n">
        <x:v>2500</x:v>
      </x:c>
      <x:c r="J509" t="str">
        <x:v>Completed</x:v>
      </x:c>
      <x:c r="K509" t="n">
        <x:f>H509*I509</x:f>
        <x:v>25000</x:v>
      </x:c>
      <x:c r="L509" s="16" t="n">
        <x:f>IF(J509="Completed",K509*0.80,0)</x:f>
        <x:v>20000</x:v>
      </x:c>
      <x:c r="M509" t="n">
        <x:v>4.4</x:v>
      </x:c>
      <x:c r="N509" t="str">
        <x:v>No</x:v>
      </x:c>
      <x:c r="O509" t="str">
        <x:v>Customer Success</x:v>
      </x:c>
    </x:row>
    <x:row r="510">
      <x:c r="A510" t="str">
        <x:v>CRB5508</x:v>
      </x:c>
      <x:c r="B510" t="str">
        <x:v>2026-07-11</x:v>
      </x:c>
      <x:c r="C510" t="str">
        <x:v>Priya Sharma</x:v>
      </x:c>
      <x:c r="D510" t="str">
        <x:v>u3405</x:v>
      </x:c>
      <x:c r="E510" t="str">
        <x:v>Referral</x:v>
      </x:c>
      <x:c r="F510" t="str">
        <x:v>Jaipur</x:v>
      </x:c>
      <x:c r="G510" t="str">
        <x:v>Pottery</x:v>
      </x:c>
      <x:c r="H510" t="n">
        <x:v>6</x:v>
      </x:c>
      <x:c r="I510" t="n">
        <x:v>2500</x:v>
      </x:c>
      <x:c r="J510" t="str">
        <x:v>Completed</x:v>
      </x:c>
      <x:c r="K510" t="n">
        <x:f>H510*I510</x:f>
        <x:v>15000</x:v>
      </x:c>
      <x:c r="L510" s="16" t="n">
        <x:f>IF(J510="Completed",K510*0.80,0)</x:f>
        <x:v>12000</x:v>
      </x:c>
      <x:c r="M510" t="n">
        <x:v>5</x:v>
      </x:c>
      <x:c r="N510" t="str">
        <x:v>Yes</x:v>
      </x:c>
      <x:c r="O510" t="str">
        <x:v>Customer Success</x:v>
      </x:c>
    </x:row>
    <x:row r="511">
      <x:c r="A511" t="str">
        <x:v>CRB5509</x:v>
      </x:c>
      <x:c r="B511" t="str">
        <x:v>2026-07-11</x:v>
      </x:c>
      <x:c r="C511" t="str">
        <x:v>Priya Sharma</x:v>
      </x:c>
      <x:c r="D511" t="str">
        <x:v>u3412</x:v>
      </x:c>
      <x:c r="E511" t="str">
        <x:v>Google Search</x:v>
      </x:c>
      <x:c r="F511" t="str">
        <x:v>Varanasi</x:v>
      </x:c>
      <x:c r="G511" t="str">
        <x:v>Pottery</x:v>
      </x:c>
      <x:c r="H511" t="n">
        <x:v>2</x:v>
      </x:c>
      <x:c r="I511" t="n">
        <x:v>2200</x:v>
      </x:c>
      <x:c r="J511" t="str">
        <x:v>Completed</x:v>
      </x:c>
      <x:c r="K511" t="n">
        <x:f>H511*I511</x:f>
        <x:v>4400</x:v>
      </x:c>
      <x:c r="L511" s="16" t="n">
        <x:f>IF(J511="Completed",K511*0.80,0)</x:f>
        <x:v>3520</x:v>
      </x:c>
      <x:c r="M511" t="n">
        <x:v>4.8</x:v>
      </x:c>
      <x:c r="N511" t="str">
        <x:v>Yes</x:v>
      </x:c>
      <x:c r="O511" t="str">
        <x:v>Revenue / Enterprise Team</x:v>
      </x:c>
    </x:row>
    <x:row r="512">
      <x:c r="A512" t="str">
        <x:v>CRB5510</x:v>
      </x:c>
      <x:c r="B512" t="str">
        <x:v>2026-07-11</x:v>
      </x:c>
      <x:c r="C512" t="str">
        <x:v>Ananya Reddy</x:v>
      </x:c>
      <x:c r="D512" t="str">
        <x:v>u3414</x:v>
      </x:c>
      <x:c r="E512" t="str">
        <x:v>Instagram</x:v>
      </x:c>
      <x:c r="F512" t="str">
        <x:v>Bangalore</x:v>
      </x:c>
      <x:c r="G512" t="str">
        <x:v>Block Printing</x:v>
      </x:c>
      <x:c r="H512" t="n">
        <x:v>3</x:v>
      </x:c>
      <x:c r="I512" t="n">
        <x:v>2200</x:v>
      </x:c>
      <x:c r="J512" t="str">
        <x:v>Completed</x:v>
      </x:c>
      <x:c r="K512" t="n">
        <x:f>H512*I512</x:f>
        <x:v>6600</x:v>
      </x:c>
      <x:c r="L512" s="16" t="n">
        <x:f>IF(J512="Completed",K512*0.80,0)</x:f>
        <x:v>5280</x:v>
      </x:c>
      <x:c r="M512" t="n">
        <x:v>4.2</x:v>
      </x:c>
      <x:c r="N512" t="str">
        <x:v>Yes</x:v>
      </x:c>
      <x:c r="O512" t="str">
        <x:v>Customer Success</x:v>
      </x:c>
    </x:row>
    <x:row r="513">
      <x:c r="A513" t="str">
        <x:v>CRB5511</x:v>
      </x:c>
      <x:c r="B513" t="str">
        <x:v>2026-07-11</x:v>
      </x:c>
      <x:c r="C513" t="str">
        <x:v>Priya Sharma</x:v>
      </x:c>
      <x:c r="D513" t="str">
        <x:v>u3417</x:v>
      </x:c>
      <x:c r="E513" t="str">
        <x:v>Travel Blog</x:v>
      </x:c>
      <x:c r="F513" t="str">
        <x:v>Bangalore</x:v>
      </x:c>
      <x:c r="G513" t="str">
        <x:v>Warli Painting</x:v>
      </x:c>
      <x:c r="H513" t="n">
        <x:v>1</x:v>
      </x:c>
      <x:c r="I513" t="n">
        <x:v>3500</x:v>
      </x:c>
      <x:c r="J513" t="str">
        <x:v>Completed</x:v>
      </x:c>
      <x:c r="K513" t="n">
        <x:f>H513*I513</x:f>
        <x:v>3500</x:v>
      </x:c>
      <x:c r="L513" s="16" t="n">
        <x:f>IF(J513="Completed",K513*0.80,0)</x:f>
        <x:v>2800</x:v>
      </x:c>
      <x:c r="M513" t="n">
        <x:v>4.7</x:v>
      </x:c>
      <x:c r="N513" t="str">
        <x:v>No</x:v>
      </x:c>
      <x:c r="O513" t="str">
        <x:v>Revenue / Enterprise Team</x:v>
      </x:c>
    </x:row>
    <x:row r="514">
      <x:c r="A514" t="str">
        <x:v>CRB5512</x:v>
      </x:c>
      <x:c r="B514" t="str">
        <x:v>2026-07-11</x:v>
      </x:c>
      <x:c r="C514" t="str">
        <x:v>Rahul Mehta</x:v>
      </x:c>
      <x:c r="D514" t="str">
        <x:v>u3421</x:v>
      </x:c>
      <x:c r="E514" t="str">
        <x:v>Direct</x:v>
      </x:c>
      <x:c r="F514" t="str">
        <x:v>Varanasi</x:v>
      </x:c>
      <x:c r="G514" t="str">
        <x:v>Pottery</x:v>
      </x:c>
      <x:c r="H514" t="n">
        <x:v>2</x:v>
      </x:c>
      <x:c r="I514" t="n">
        <x:v>3500</x:v>
      </x:c>
      <x:c r="J514" t="str">
        <x:v>Completed</x:v>
      </x:c>
      <x:c r="K514" t="n">
        <x:f>H514*I514</x:f>
        <x:v>7000</x:v>
      </x:c>
      <x:c r="L514" s="16" t="n">
        <x:f>IF(J514="Completed",K514*0.80,0)</x:f>
        <x:v>5600</x:v>
      </x:c>
      <x:c r="M514" t="n">
        <x:v>4.1</x:v>
      </x:c>
      <x:c r="N514" t="str">
        <x:v>No</x:v>
      </x:c>
      <x:c r="O514" t="str">
        <x:v>Traveler Success</x:v>
      </x:c>
    </x:row>
    <x:row r="515">
      <x:c r="A515" t="str">
        <x:v>CRB5513</x:v>
      </x:c>
      <x:c r="B515" t="str">
        <x:v>2026-07-11</x:v>
      </x:c>
      <x:c r="C515" t="str">
        <x:v>Priya Sharma</x:v>
      </x:c>
      <x:c r="D515" t="str">
        <x:v>u3424</x:v>
      </x:c>
      <x:c r="E515" t="str">
        <x:v>Google Search</x:v>
      </x:c>
      <x:c r="F515" t="str">
        <x:v>Khurja</x:v>
      </x:c>
      <x:c r="G515" t="str">
        <x:v>Warli Painting</x:v>
      </x:c>
      <x:c r="H515" t="n">
        <x:v>4</x:v>
      </x:c>
      <x:c r="I515" t="n">
        <x:v>2000</x:v>
      </x:c>
      <x:c r="J515" t="str">
        <x:v>Completed</x:v>
      </x:c>
      <x:c r="K515" t="n">
        <x:f>H515*I515</x:f>
        <x:v>8000</x:v>
      </x:c>
      <x:c r="L515" s="16" t="n">
        <x:f>IF(J515="Completed",K515*0.80,0)</x:f>
        <x:v>6400</x:v>
      </x:c>
      <x:c r="M515" t="n">
        <x:v>4.1</x:v>
      </x:c>
      <x:c r="N515" t="str">
        <x:v>No</x:v>
      </x:c>
      <x:c r="O515" t="str">
        <x:v>Traveler Success</x:v>
      </x:c>
    </x:row>
    <x:row r="516">
      <x:c r="A516" t="str">
        <x:v>CRB5514</x:v>
      </x:c>
      <x:c r="B516" t="str">
        <x:v>2026-07-11</x:v>
      </x:c>
      <x:c r="C516" t="str">
        <x:v>Sofia Martinez</x:v>
      </x:c>
      <x:c r="D516" t="str">
        <x:v>u3425</x:v>
      </x:c>
      <x:c r="E516" t="str">
        <x:v>Direct</x:v>
      </x:c>
      <x:c r="F516" t="str">
        <x:v>Bangalore</x:v>
      </x:c>
      <x:c r="G516" t="str">
        <x:v>Blue Pottery</x:v>
      </x:c>
      <x:c r="H516" t="n">
        <x:v>1</x:v>
      </x:c>
      <x:c r="I516" t="n">
        <x:v>3500</x:v>
      </x:c>
      <x:c r="J516" t="str">
        <x:v>Completed</x:v>
      </x:c>
      <x:c r="K516" t="n">
        <x:f>H516*I516</x:f>
        <x:v>3500</x:v>
      </x:c>
      <x:c r="L516" s="16" t="n">
        <x:f>IF(J516="Completed",K516*0.80,0)</x:f>
        <x:v>2800</x:v>
      </x:c>
      <x:c r="M516" t="n">
        <x:v>4.9</x:v>
      </x:c>
      <x:c r="N516" t="str">
        <x:v>No</x:v>
      </x:c>
      <x:c r="O516" t="str">
        <x:v>Revenue / Enterprise Team</x:v>
      </x:c>
    </x:row>
    <x:row r="517">
      <x:c r="A517" t="str">
        <x:v>CRB5515</x:v>
      </x:c>
      <x:c r="B517" t="str">
        <x:v>2026-07-11</x:v>
      </x:c>
      <x:c r="C517" t="str">
        <x:v>Priya Sharma</x:v>
      </x:c>
      <x:c r="D517" t="str">
        <x:v>u3430</x:v>
      </x:c>
      <x:c r="E517" t="str">
        <x:v>Google Search</x:v>
      </x:c>
      <x:c r="F517" t="str">
        <x:v>Jaipur</x:v>
      </x:c>
      <x:c r="G517" t="str">
        <x:v>Pottery</x:v>
      </x:c>
      <x:c r="H517" t="n">
        <x:v>1</x:v>
      </x:c>
      <x:c r="I517" t="n">
        <x:v>3500</x:v>
      </x:c>
      <x:c r="J517" t="str">
        <x:v>Completed</x:v>
      </x:c>
      <x:c r="K517" t="n">
        <x:f>H517*I517</x:f>
        <x:v>3500</x:v>
      </x:c>
      <x:c r="L517" s="16" t="n">
        <x:f>IF(J517="Completed",K517*0.80,0)</x:f>
        <x:v>2800</x:v>
      </x:c>
      <x:c r="M517" t="n">
        <x:v>4.3</x:v>
      </x:c>
      <x:c r="N517" t="str">
        <x:v>No</x:v>
      </x:c>
      <x:c r="O517" t="str">
        <x:v>Revenue / Enterprise Team</x:v>
      </x:c>
    </x:row>
    <x:row r="518">
      <x:c r="A518" t="str">
        <x:v>CRB5516</x:v>
      </x:c>
      <x:c r="B518" t="str">
        <x:v>2026-07-11</x:v>
      </x:c>
      <x:c r="C518" t="str">
        <x:v>Rahul Mehta</x:v>
      </x:c>
      <x:c r="D518" t="str">
        <x:v>u3431</x:v>
      </x:c>
      <x:c r="E518" t="str">
        <x:v>Travel Blog</x:v>
      </x:c>
      <x:c r="F518" t="str">
        <x:v>Udaipur</x:v>
      </x:c>
      <x:c r="G518" t="str">
        <x:v>Warli Painting</x:v>
      </x:c>
      <x:c r="H518" t="n">
        <x:v>4</x:v>
      </x:c>
      <x:c r="I518" t="n">
        <x:v>2000</x:v>
      </x:c>
      <x:c r="J518" t="str">
        <x:v>Completed</x:v>
      </x:c>
      <x:c r="K518" t="n">
        <x:f>H518*I518</x:f>
        <x:v>8000</x:v>
      </x:c>
      <x:c r="L518" s="16" t="n">
        <x:f>IF(J518="Completed",K518*0.80,0)</x:f>
        <x:v>6400</x:v>
      </x:c>
      <x:c r="M518" t="n">
        <x:v>4.1</x:v>
      </x:c>
      <x:c r="N518" t="str">
        <x:v>Yes</x:v>
      </x:c>
      <x:c r="O518" t="str">
        <x:v>Revenue / Enterprise Team</x:v>
      </x:c>
    </x:row>
    <x:row r="519">
      <x:c r="A519" t="str">
        <x:v>CRB5517</x:v>
      </x:c>
      <x:c r="B519" t="str">
        <x:v>2026-07-11</x:v>
      </x:c>
      <x:c r="C519" t="str">
        <x:v>Priya Sharma</x:v>
      </x:c>
      <x:c r="D519" t="str">
        <x:v>u3433</x:v>
      </x:c>
      <x:c r="E519" t="str">
        <x:v>Direct</x:v>
      </x:c>
      <x:c r="F519" t="str">
        <x:v>Bangalore</x:v>
      </x:c>
      <x:c r="G519" t="str">
        <x:v>Pottery</x:v>
      </x:c>
      <x:c r="H519" t="n">
        <x:v>2</x:v>
      </x:c>
      <x:c r="I519" t="n">
        <x:v>1500</x:v>
      </x:c>
      <x:c r="J519" t="str">
        <x:v>Completed</x:v>
      </x:c>
      <x:c r="K519" t="n">
        <x:f>H519*I519</x:f>
        <x:v>3000</x:v>
      </x:c>
      <x:c r="L519" s="16" t="n">
        <x:f>IF(J519="Completed",K519*0.80,0)</x:f>
        <x:v>2400</x:v>
      </x:c>
      <x:c r="M519" t="n">
        <x:v>4.6</x:v>
      </x:c>
      <x:c r="N519" t="str">
        <x:v>Yes</x:v>
      </x:c>
      <x:c r="O519" t="str">
        <x:v>Revenue / Enterprise Team</x:v>
      </x:c>
    </x:row>
    <x:row r="520">
      <x:c r="A520" t="str">
        <x:v>CRB5518</x:v>
      </x:c>
      <x:c r="B520" t="str">
        <x:v>2026-07-11</x:v>
      </x:c>
      <x:c r="C520" t="str">
        <x:v>Ananya Reddy</x:v>
      </x:c>
      <x:c r="D520" t="str">
        <x:v>u3442</x:v>
      </x:c>
      <x:c r="E520" t="str">
        <x:v>Google Search</x:v>
      </x:c>
      <x:c r="F520" t="str">
        <x:v>Varanasi</x:v>
      </x:c>
      <x:c r="G520" t="str">
        <x:v>Warli Painting</x:v>
      </x:c>
      <x:c r="H520" t="n">
        <x:v>4</x:v>
      </x:c>
      <x:c r="I520" t="n">
        <x:v>2500</x:v>
      </x:c>
      <x:c r="J520" t="str">
        <x:v>Completed</x:v>
      </x:c>
      <x:c r="K520" t="n">
        <x:f>H520*I520</x:f>
        <x:v>10000</x:v>
      </x:c>
      <x:c r="L520" s="16" t="n">
        <x:f>IF(J520="Completed",K520*0.80,0)</x:f>
        <x:v>8000</x:v>
      </x:c>
      <x:c r="M520" t="n">
        <x:v>4</x:v>
      </x:c>
      <x:c r="N520" t="str">
        <x:v>No</x:v>
      </x:c>
      <x:c r="O520" t="str">
        <x:v>Traveler Success</x:v>
      </x:c>
    </x:row>
    <x:row r="521">
      <x:c r="A521" t="str">
        <x:v>CRB5519</x:v>
      </x:c>
      <x:c r="B521" t="str">
        <x:v>2026-07-11</x:v>
      </x:c>
      <x:c r="C521" t="str">
        <x:v>Sofia Martinez</x:v>
      </x:c>
      <x:c r="D521" t="str">
        <x:v>u3464</x:v>
      </x:c>
      <x:c r="E521" t="str">
        <x:v>Direct</x:v>
      </x:c>
      <x:c r="F521" t="str">
        <x:v>Khurja</x:v>
      </x:c>
      <x:c r="G521" t="str">
        <x:v>Block Printing</x:v>
      </x:c>
      <x:c r="H521" t="n">
        <x:v>1</x:v>
      </x:c>
      <x:c r="I521" t="n">
        <x:v>1500</x:v>
      </x:c>
      <x:c r="J521" t="str">
        <x:v>Cancelled</x:v>
      </x:c>
      <x:c r="K521" t="n">
        <x:f>H521*I521</x:f>
        <x:v>1500</x:v>
      </x:c>
      <x:c r="L521" s="16" t="n">
        <x:f>IF(J521="Completed",K521*0.80,0)</x:f>
        <x:v>0</x:v>
      </x:c>
      <x:c r="M521" t="str"/>
      <x:c r="N521" t="str">
        <x:v>Yes</x:v>
      </x:c>
      <x:c r="O521" t="str">
        <x:v>Revenue / Enterprise Team</x:v>
      </x:c>
    </x:row>
    <x:row r="522">
      <x:c r="A522" t="str">
        <x:v>CRB5520</x:v>
      </x:c>
      <x:c r="B522" t="str">
        <x:v>2026-07-11</x:v>
      </x:c>
      <x:c r="C522" t="str">
        <x:v>Ananya Reddy</x:v>
      </x:c>
      <x:c r="D522" t="str">
        <x:v>u3465</x:v>
      </x:c>
      <x:c r="E522" t="str">
        <x:v>Referral</x:v>
      </x:c>
      <x:c r="F522" t="str">
        <x:v>Jaipur</x:v>
      </x:c>
      <x:c r="G522" t="str">
        <x:v>Weaving</x:v>
      </x:c>
      <x:c r="H522" t="n">
        <x:v>1</x:v>
      </x:c>
      <x:c r="I522" t="n">
        <x:v>2200</x:v>
      </x:c>
      <x:c r="J522" t="str">
        <x:v>Completed</x:v>
      </x:c>
      <x:c r="K522" t="n">
        <x:f>H522*I522</x:f>
        <x:v>2200</x:v>
      </x:c>
      <x:c r="L522" s="16" t="n">
        <x:f>IF(J522="Completed",K522*0.80,0)</x:f>
        <x:v>1760</x:v>
      </x:c>
      <x:c r="M522" t="n">
        <x:v>4.6</x:v>
      </x:c>
      <x:c r="N522" t="str">
        <x:v>No</x:v>
      </x:c>
      <x:c r="O522" t="str">
        <x:v>Revenue / Enterprise Team</x:v>
      </x:c>
    </x:row>
    <x:row r="523">
      <x:c r="A523" t="str">
        <x:v>CRB5521</x:v>
      </x:c>
      <x:c r="B523" t="str">
        <x:v>2026-07-11</x:v>
      </x:c>
      <x:c r="C523" t="str">
        <x:v>Priya Sharma</x:v>
      </x:c>
      <x:c r="D523" t="str">
        <x:v>u3466</x:v>
      </x:c>
      <x:c r="E523" t="str">
        <x:v>Travel Blog</x:v>
      </x:c>
      <x:c r="F523" t="str">
        <x:v>Khurja</x:v>
      </x:c>
      <x:c r="G523" t="str">
        <x:v>Block Printing</x:v>
      </x:c>
      <x:c r="H523" t="n">
        <x:v>1</x:v>
      </x:c>
      <x:c r="I523" t="n">
        <x:v>2200</x:v>
      </x:c>
      <x:c r="J523" t="str">
        <x:v>Completed</x:v>
      </x:c>
      <x:c r="K523" t="n">
        <x:f>H523*I523</x:f>
        <x:v>2200</x:v>
      </x:c>
      <x:c r="L523" s="16" t="n">
        <x:f>IF(J523="Completed",K523*0.80,0)</x:f>
        <x:v>1760</x:v>
      </x:c>
      <x:c r="M523" t="n">
        <x:v>4.3</x:v>
      </x:c>
      <x:c r="N523" t="str">
        <x:v>No</x:v>
      </x:c>
      <x:c r="O523" t="str">
        <x:v>Traveler Success</x:v>
      </x:c>
    </x:row>
    <x:row r="524">
      <x:c r="A524" t="str">
        <x:v>CRB5522</x:v>
      </x:c>
      <x:c r="B524" t="str">
        <x:v>2026-07-11</x:v>
      </x:c>
      <x:c r="C524" t="str">
        <x:v>Mark Thompson</x:v>
      </x:c>
      <x:c r="D524" t="str">
        <x:v>u3471</x:v>
      </x:c>
      <x:c r="E524" t="str">
        <x:v>Direct</x:v>
      </x:c>
      <x:c r="F524" t="str">
        <x:v>Varanasi</x:v>
      </x:c>
      <x:c r="G524" t="str">
        <x:v>Block Printing</x:v>
      </x:c>
      <x:c r="H524" t="n">
        <x:v>2</x:v>
      </x:c>
      <x:c r="I524" t="n">
        <x:v>1800</x:v>
      </x:c>
      <x:c r="J524" t="str">
        <x:v>No-show</x:v>
      </x:c>
      <x:c r="K524" t="n">
        <x:f>H524*I524</x:f>
        <x:v>3600</x:v>
      </x:c>
      <x:c r="L524" s="16" t="n">
        <x:f>IF(J524="Completed",K524*0.80,0)</x:f>
        <x:v>0</x:v>
      </x:c>
      <x:c r="M524" t="str"/>
      <x:c r="N524" t="str">
        <x:v>No</x:v>
      </x:c>
      <x:c r="O524" t="str">
        <x:v>Revenue / Enterprise Team</x:v>
      </x:c>
    </x:row>
    <x:row r="525">
      <x:c r="A525" t="str">
        <x:v>CRB5523</x:v>
      </x:c>
      <x:c r="B525" t="str">
        <x:v>2026-07-11</x:v>
      </x:c>
      <x:c r="C525" t="str">
        <x:v>Sofia Martinez</x:v>
      </x:c>
      <x:c r="D525" t="str">
        <x:v>u3474</x:v>
      </x:c>
      <x:c r="E525" t="str">
        <x:v>Google Search</x:v>
      </x:c>
      <x:c r="F525" t="str">
        <x:v>Jaipur</x:v>
      </x:c>
      <x:c r="G525" t="str">
        <x:v>Block Printing</x:v>
      </x:c>
      <x:c r="H525" t="n">
        <x:v>10</x:v>
      </x:c>
      <x:c r="I525" t="n">
        <x:v>1800</x:v>
      </x:c>
      <x:c r="J525" t="str">
        <x:v>Completed</x:v>
      </x:c>
      <x:c r="K525" t="n">
        <x:f>H525*I525</x:f>
        <x:v>18000</x:v>
      </x:c>
      <x:c r="L525" s="16" t="n">
        <x:f>IF(J525="Completed",K525*0.80,0)</x:f>
        <x:v>14400</x:v>
      </x:c>
      <x:c r="M525" t="n">
        <x:v>4.2</x:v>
      </x:c>
      <x:c r="N525" t="str">
        <x:v>No</x:v>
      </x:c>
      <x:c r="O525" t="str">
        <x:v>Revenue / Enterprise Team</x:v>
      </x:c>
    </x:row>
    <x:row r="526">
      <x:c r="A526" t="str">
        <x:v>CRB5524</x:v>
      </x:c>
      <x:c r="B526" t="str">
        <x:v>2026-07-11</x:v>
      </x:c>
      <x:c r="C526" t="str">
        <x:v>Rahul Mehta</x:v>
      </x:c>
      <x:c r="D526" t="str">
        <x:v>u3475</x:v>
      </x:c>
      <x:c r="E526" t="str">
        <x:v>Direct</x:v>
      </x:c>
      <x:c r="F526" t="str">
        <x:v>Varanasi</x:v>
      </x:c>
      <x:c r="G526" t="str">
        <x:v>Blue Pottery</x:v>
      </x:c>
      <x:c r="H526" t="n">
        <x:v>4</x:v>
      </x:c>
      <x:c r="I526" t="n">
        <x:v>2000</x:v>
      </x:c>
      <x:c r="J526" t="str">
        <x:v>Completed</x:v>
      </x:c>
      <x:c r="K526" t="n">
        <x:f>H526*I526</x:f>
        <x:v>8000</x:v>
      </x:c>
      <x:c r="L526" s="16" t="n">
        <x:f>IF(J526="Completed",K526*0.80,0)</x:f>
        <x:v>6400</x:v>
      </x:c>
      <x:c r="M526" t="n">
        <x:v>5</x:v>
      </x:c>
      <x:c r="N526" t="str">
        <x:v>No</x:v>
      </x:c>
      <x:c r="O526" t="str">
        <x:v>Traveler Success</x:v>
      </x:c>
    </x:row>
    <x:row r="527">
      <x:c r="A527" t="str">
        <x:v>CRB5525</x:v>
      </x:c>
      <x:c r="B527" t="str">
        <x:v>2026-07-11</x:v>
      </x:c>
      <x:c r="C527" t="str">
        <x:v>Ananya Reddy</x:v>
      </x:c>
      <x:c r="D527" t="str">
        <x:v>u3477</x:v>
      </x:c>
      <x:c r="E527" t="str">
        <x:v>Instagram</x:v>
      </x:c>
      <x:c r="F527" t="str">
        <x:v>Udaipur</x:v>
      </x:c>
      <x:c r="G527" t="str">
        <x:v>Weaving</x:v>
      </x:c>
      <x:c r="H527" t="n">
        <x:v>4</x:v>
      </x:c>
      <x:c r="I527" t="n">
        <x:v>3500</x:v>
      </x:c>
      <x:c r="J527" t="str">
        <x:v>Completed</x:v>
      </x:c>
      <x:c r="K527" t="n">
        <x:f>H527*I527</x:f>
        <x:v>14000</x:v>
      </x:c>
      <x:c r="L527" s="16" t="n">
        <x:f>IF(J527="Completed",K527*0.80,0)</x:f>
        <x:v>11200</x:v>
      </x:c>
      <x:c r="M527" t="n">
        <x:v>3.9</x:v>
      </x:c>
      <x:c r="N527" t="str">
        <x:v>No</x:v>
      </x:c>
      <x:c r="O527" t="str">
        <x:v>Revenue / Enterprise Team</x:v>
      </x:c>
    </x:row>
    <x:row r="528">
      <x:c r="A528" t="str">
        <x:v>CRB5526</x:v>
      </x:c>
      <x:c r="B528" t="str">
        <x:v>2026-07-11</x:v>
      </x:c>
      <x:c r="C528" t="str">
        <x:v>Sofia Martinez</x:v>
      </x:c>
      <x:c r="D528" t="str">
        <x:v>u3479</x:v>
      </x:c>
      <x:c r="E528" t="str">
        <x:v>Instagram</x:v>
      </x:c>
      <x:c r="F528" t="str">
        <x:v>Udaipur</x:v>
      </x:c>
      <x:c r="G528" t="str">
        <x:v>Warli Painting</x:v>
      </x:c>
      <x:c r="H528" t="n">
        <x:v>4</x:v>
      </x:c>
      <x:c r="I528" t="n">
        <x:v>2500</x:v>
      </x:c>
      <x:c r="J528" t="str">
        <x:v>Cancelled</x:v>
      </x:c>
      <x:c r="K528" t="n">
        <x:f>H528*I528</x:f>
        <x:v>10000</x:v>
      </x:c>
      <x:c r="L528" s="16" t="n">
        <x:f>IF(J528="Completed",K528*0.80,0)</x:f>
        <x:v>0</x:v>
      </x:c>
      <x:c r="M528" t="str"/>
      <x:c r="N528" t="str">
        <x:v>No</x:v>
      </x:c>
      <x:c r="O528" t="str">
        <x:v>Revenue / Enterprise Team</x:v>
      </x:c>
    </x:row>
    <x:row r="529">
      <x:c r="A529" t="str">
        <x:v>CRB5527</x:v>
      </x:c>
      <x:c r="B529" t="str">
        <x:v>2026-07-11</x:v>
      </x:c>
      <x:c r="C529" t="str">
        <x:v>Mark Thompson</x:v>
      </x:c>
      <x:c r="D529" t="str">
        <x:v>u3492</x:v>
      </x:c>
      <x:c r="E529" t="str">
        <x:v>Direct</x:v>
      </x:c>
      <x:c r="F529" t="str">
        <x:v>Khurja</x:v>
      </x:c>
      <x:c r="G529" t="str">
        <x:v>Block Printing</x:v>
      </x:c>
      <x:c r="H529" t="n">
        <x:v>12</x:v>
      </x:c>
      <x:c r="I529" t="n">
        <x:v>3500</x:v>
      </x:c>
      <x:c r="J529" t="str">
        <x:v>Completed</x:v>
      </x:c>
      <x:c r="K529" t="n">
        <x:f>H529*I529</x:f>
        <x:v>42000</x:v>
      </x:c>
      <x:c r="L529" s="16" t="n">
        <x:f>IF(J529="Completed",K529*0.80,0)</x:f>
        <x:v>33600</x:v>
      </x:c>
      <x:c r="M529" t="n">
        <x:v>4.5</x:v>
      </x:c>
      <x:c r="N529" t="str">
        <x:v>No</x:v>
      </x:c>
      <x:c r="O529" t="str">
        <x:v>Customer Success</x:v>
      </x:c>
    </x:row>
    <x:row r="530">
      <x:c r="A530" t="str">
        <x:v>CRB5528</x:v>
      </x:c>
      <x:c r="B530" t="str">
        <x:v>2026-07-11</x:v>
      </x:c>
      <x:c r="C530" t="str">
        <x:v>Sofia Martinez</x:v>
      </x:c>
      <x:c r="D530" t="str">
        <x:v>u3494</x:v>
      </x:c>
      <x:c r="E530" t="str">
        <x:v>Instagram</x:v>
      </x:c>
      <x:c r="F530" t="str">
        <x:v>Khurja</x:v>
      </x:c>
      <x:c r="G530" t="str">
        <x:v>Pottery</x:v>
      </x:c>
      <x:c r="H530" t="n">
        <x:v>1</x:v>
      </x:c>
      <x:c r="I530" t="n">
        <x:v>2500</x:v>
      </x:c>
      <x:c r="J530" t="str">
        <x:v>Completed</x:v>
      </x:c>
      <x:c r="K530" t="n">
        <x:f>H530*I530</x:f>
        <x:v>2500</x:v>
      </x:c>
      <x:c r="L530" s="16" t="n">
        <x:f>IF(J530="Completed",K530*0.80,0)</x:f>
        <x:v>2000</x:v>
      </x:c>
      <x:c r="M530" t="n">
        <x:v>4.8</x:v>
      </x:c>
      <x:c r="N530" t="str">
        <x:v>No</x:v>
      </x:c>
      <x:c r="O530" t="str">
        <x:v>Revenue / Enterprise Team</x:v>
      </x:c>
    </x:row>
    <x:row r="531">
      <x:c r="A531" t="str">
        <x:v>CRB5529</x:v>
      </x:c>
      <x:c r="B531" t="str">
        <x:v>2026-07-11</x:v>
      </x:c>
      <x:c r="C531" t="str">
        <x:v>Mark Thompson</x:v>
      </x:c>
      <x:c r="D531" t="str">
        <x:v>u3505</x:v>
      </x:c>
      <x:c r="E531" t="str">
        <x:v>Instagram</x:v>
      </x:c>
      <x:c r="F531" t="str">
        <x:v>Bangalore</x:v>
      </x:c>
      <x:c r="G531" t="str">
        <x:v>Weaving</x:v>
      </x:c>
      <x:c r="H531" t="n">
        <x:v>3</x:v>
      </x:c>
      <x:c r="I531" t="n">
        <x:v>2000</x:v>
      </x:c>
      <x:c r="J531" t="str">
        <x:v>Completed</x:v>
      </x:c>
      <x:c r="K531" t="n">
        <x:f>H531*I531</x:f>
        <x:v>6000</x:v>
      </x:c>
      <x:c r="L531" s="16" t="n">
        <x:f>IF(J531="Completed",K531*0.80,0)</x:f>
        <x:v>4800</x:v>
      </x:c>
      <x:c r="M531" t="n">
        <x:v>3.8</x:v>
      </x:c>
      <x:c r="N531" t="str">
        <x:v>No</x:v>
      </x:c>
      <x:c r="O531" t="str">
        <x:v>Customer Success</x:v>
      </x:c>
    </x:row>
    <x:row r="532">
      <x:c r="A532" t="str">
        <x:v>CRB5530</x:v>
      </x:c>
      <x:c r="B532" t="str">
        <x:v>2026-07-11</x:v>
      </x:c>
      <x:c r="C532" t="str">
        <x:v>Mark Thompson</x:v>
      </x:c>
      <x:c r="D532" t="str">
        <x:v>u3506</x:v>
      </x:c>
      <x:c r="E532" t="str">
        <x:v>Direct</x:v>
      </x:c>
      <x:c r="F532" t="str">
        <x:v>Varanasi</x:v>
      </x:c>
      <x:c r="G532" t="str">
        <x:v>Blue Pottery</x:v>
      </x:c>
      <x:c r="H532" t="n">
        <x:v>4</x:v>
      </x:c>
      <x:c r="I532" t="n">
        <x:v>2500</x:v>
      </x:c>
      <x:c r="J532" t="str">
        <x:v>Completed</x:v>
      </x:c>
      <x:c r="K532" t="n">
        <x:f>H532*I532</x:f>
        <x:v>10000</x:v>
      </x:c>
      <x:c r="L532" s="16" t="n">
        <x:f>IF(J532="Completed",K532*0.80,0)</x:f>
        <x:v>8000</x:v>
      </x:c>
      <x:c r="M532" t="n">
        <x:v>4.8</x:v>
      </x:c>
      <x:c r="N532" t="str">
        <x:v>No</x:v>
      </x:c>
      <x:c r="O532" t="str">
        <x:v>Traveler Success</x:v>
      </x:c>
    </x:row>
    <x:row r="533">
      <x:c r="A533" t="str">
        <x:v>CRB5531</x:v>
      </x:c>
      <x:c r="B533" t="str">
        <x:v>2026-07-11</x:v>
      </x:c>
      <x:c r="C533" t="str">
        <x:v>Rahul Mehta</x:v>
      </x:c>
      <x:c r="D533" t="str">
        <x:v>u3507</x:v>
      </x:c>
      <x:c r="E533" t="str">
        <x:v>Direct</x:v>
      </x:c>
      <x:c r="F533" t="str">
        <x:v>Udaipur</x:v>
      </x:c>
      <x:c r="G533" t="str">
        <x:v>Blue Pottery</x:v>
      </x:c>
      <x:c r="H533" t="n">
        <x:v>4</x:v>
      </x:c>
      <x:c r="I533" t="n">
        <x:v>1800</x:v>
      </x:c>
      <x:c r="J533" t="str">
        <x:v>Completed</x:v>
      </x:c>
      <x:c r="K533" t="n">
        <x:f>H533*I533</x:f>
        <x:v>7200</x:v>
      </x:c>
      <x:c r="L533" s="16" t="n">
        <x:f>IF(J533="Completed",K533*0.80,0)</x:f>
        <x:v>5760</x:v>
      </x:c>
      <x:c r="M533" t="n">
        <x:v>4</x:v>
      </x:c>
      <x:c r="N533" t="str">
        <x:v>No</x:v>
      </x:c>
      <x:c r="O533" t="str">
        <x:v>Customer Success</x:v>
      </x:c>
    </x:row>
    <x:row r="534">
      <x:c r="A534" t="str">
        <x:v>CRB5532</x:v>
      </x:c>
      <x:c r="B534" t="str">
        <x:v>2026-07-11</x:v>
      </x:c>
      <x:c r="C534" t="str">
        <x:v>Sofia Martinez</x:v>
      </x:c>
      <x:c r="D534" t="str">
        <x:v>u3509</x:v>
      </x:c>
      <x:c r="E534" t="str">
        <x:v>Instagram</x:v>
      </x:c>
      <x:c r="F534" t="str">
        <x:v>Varanasi</x:v>
      </x:c>
      <x:c r="G534" t="str">
        <x:v>Blue Pottery</x:v>
      </x:c>
      <x:c r="H534" t="n">
        <x:v>6</x:v>
      </x:c>
      <x:c r="I534" t="n">
        <x:v>1800</x:v>
      </x:c>
      <x:c r="J534" t="str">
        <x:v>Completed</x:v>
      </x:c>
      <x:c r="K534" t="n">
        <x:f>H534*I534</x:f>
        <x:v>10800</x:v>
      </x:c>
      <x:c r="L534" s="16" t="n">
        <x:f>IF(J534="Completed",K534*0.80,0)</x:f>
        <x:v>8640</x:v>
      </x:c>
      <x:c r="M534" t="n">
        <x:v>5</x:v>
      </x:c>
      <x:c r="N534" t="str">
        <x:v>No</x:v>
      </x:c>
      <x:c r="O534" t="str">
        <x:v>Customer Success</x:v>
      </x:c>
    </x:row>
    <x:row r="535">
      <x:c r="A535" t="str">
        <x:v>CRB5533</x:v>
      </x:c>
      <x:c r="B535" t="str">
        <x:v>2026-07-11</x:v>
      </x:c>
      <x:c r="C535" t="str">
        <x:v>Rahul Mehta</x:v>
      </x:c>
      <x:c r="D535" t="str">
        <x:v>u3513</x:v>
      </x:c>
      <x:c r="E535" t="str">
        <x:v>Instagram</x:v>
      </x:c>
      <x:c r="F535" t="str">
        <x:v>Bangalore</x:v>
      </x:c>
      <x:c r="G535" t="str">
        <x:v>Blue Pottery</x:v>
      </x:c>
      <x:c r="H535" t="n">
        <x:v>4</x:v>
      </x:c>
      <x:c r="I535" t="n">
        <x:v>2200</x:v>
      </x:c>
      <x:c r="J535" t="str">
        <x:v>Cancelled</x:v>
      </x:c>
      <x:c r="K535" t="n">
        <x:f>H535*I535</x:f>
        <x:v>8800</x:v>
      </x:c>
      <x:c r="L535" s="16" t="n">
        <x:f>IF(J535="Completed",K535*0.80,0)</x:f>
        <x:v>0</x:v>
      </x:c>
      <x:c r="M535" t="str"/>
      <x:c r="N535" t="str">
        <x:v>No</x:v>
      </x:c>
      <x:c r="O535" t="str">
        <x:v>Traveler Success</x:v>
      </x:c>
    </x:row>
    <x:row r="536">
      <x:c r="A536" t="str">
        <x:v>CRB5534</x:v>
      </x:c>
      <x:c r="B536" t="str">
        <x:v>2026-07-11</x:v>
      </x:c>
      <x:c r="C536" t="str">
        <x:v>Priya Sharma</x:v>
      </x:c>
      <x:c r="D536" t="str">
        <x:v>u3520</x:v>
      </x:c>
      <x:c r="E536" t="str">
        <x:v>Instagram</x:v>
      </x:c>
      <x:c r="F536" t="str">
        <x:v>Varanasi</x:v>
      </x:c>
      <x:c r="G536" t="str">
        <x:v>Weaving</x:v>
      </x:c>
      <x:c r="H536" t="n">
        <x:v>3</x:v>
      </x:c>
      <x:c r="I536" t="n">
        <x:v>3500</x:v>
      </x:c>
      <x:c r="J536" t="str">
        <x:v>Completed</x:v>
      </x:c>
      <x:c r="K536" t="n">
        <x:f>H536*I536</x:f>
        <x:v>10500</x:v>
      </x:c>
      <x:c r="L536" s="16" t="n">
        <x:f>IF(J536="Completed",K536*0.80,0)</x:f>
        <x:v>8400</x:v>
      </x:c>
      <x:c r="M536" t="n">
        <x:v>4.9</x:v>
      </x:c>
      <x:c r="N536" t="str">
        <x:v>No</x:v>
      </x:c>
      <x:c r="O536" t="str">
        <x:v>Customer Success</x:v>
      </x:c>
    </x:row>
    <x:row r="537">
      <x:c r="A537" t="str">
        <x:v>CRB5535</x:v>
      </x:c>
      <x:c r="B537" t="str">
        <x:v>2026-07-11</x:v>
      </x:c>
      <x:c r="C537" t="str">
        <x:v>Rahul Mehta</x:v>
      </x:c>
      <x:c r="D537" t="str">
        <x:v>u3524</x:v>
      </x:c>
      <x:c r="E537" t="str">
        <x:v>Instagram</x:v>
      </x:c>
      <x:c r="F537" t="str">
        <x:v>Bangalore</x:v>
      </x:c>
      <x:c r="G537" t="str">
        <x:v>Warli Painting</x:v>
      </x:c>
      <x:c r="H537" t="n">
        <x:v>2</x:v>
      </x:c>
      <x:c r="I537" t="n">
        <x:v>3500</x:v>
      </x:c>
      <x:c r="J537" t="str">
        <x:v>Completed</x:v>
      </x:c>
      <x:c r="K537" t="n">
        <x:f>H537*I537</x:f>
        <x:v>7000</x:v>
      </x:c>
      <x:c r="L537" s="16" t="n">
        <x:f>IF(J537="Completed",K537*0.80,0)</x:f>
        <x:v>5600</x:v>
      </x:c>
      <x:c r="M537" t="n">
        <x:v>4</x:v>
      </x:c>
      <x:c r="N537" t="str">
        <x:v>No</x:v>
      </x:c>
      <x:c r="O537" t="str">
        <x:v>Customer Success</x:v>
      </x:c>
    </x:row>
    <x:row r="538">
      <x:c r="A538" t="str">
        <x:v>CRB5536</x:v>
      </x:c>
      <x:c r="B538" t="str">
        <x:v>2026-07-11</x:v>
      </x:c>
      <x:c r="C538" t="str">
        <x:v>Rahul Mehta</x:v>
      </x:c>
      <x:c r="D538" t="str">
        <x:v>u3528</x:v>
      </x:c>
      <x:c r="E538" t="str">
        <x:v>Travel Blog</x:v>
      </x:c>
      <x:c r="F538" t="str">
        <x:v>Varanasi</x:v>
      </x:c>
      <x:c r="G538" t="str">
        <x:v>Weaving</x:v>
      </x:c>
      <x:c r="H538" t="n">
        <x:v>6</x:v>
      </x:c>
      <x:c r="I538" t="n">
        <x:v>3000</x:v>
      </x:c>
      <x:c r="J538" t="str">
        <x:v>Completed</x:v>
      </x:c>
      <x:c r="K538" t="n">
        <x:f>H538*I538</x:f>
        <x:v>18000</x:v>
      </x:c>
      <x:c r="L538" s="16" t="n">
        <x:f>IF(J538="Completed",K538*0.80,0)</x:f>
        <x:v>14400</x:v>
      </x:c>
      <x:c r="M538" t="n">
        <x:v>4.6</x:v>
      </x:c>
      <x:c r="N538" t="str">
        <x:v>No</x:v>
      </x:c>
      <x:c r="O538" t="str">
        <x:v>Customer Success</x:v>
      </x:c>
    </x:row>
    <x:row r="539">
      <x:c r="A539" t="str">
        <x:v>CRB5537</x:v>
      </x:c>
      <x:c r="B539" t="str">
        <x:v>2026-07-11</x:v>
      </x:c>
      <x:c r="C539" t="str">
        <x:v>Mark Thompson</x:v>
      </x:c>
      <x:c r="D539" t="str">
        <x:v>u3532</x:v>
      </x:c>
      <x:c r="E539" t="str">
        <x:v>Google Search</x:v>
      </x:c>
      <x:c r="F539" t="str">
        <x:v>Bangalore</x:v>
      </x:c>
      <x:c r="G539" t="str">
        <x:v>Pottery</x:v>
      </x:c>
      <x:c r="H539" t="n">
        <x:v>2</x:v>
      </x:c>
      <x:c r="I539" t="n">
        <x:v>3500</x:v>
      </x:c>
      <x:c r="J539" t="str">
        <x:v>Completed</x:v>
      </x:c>
      <x:c r="K539" t="n">
        <x:f>H539*I539</x:f>
        <x:v>7000</x:v>
      </x:c>
      <x:c r="L539" s="16" t="n">
        <x:f>IF(J539="Completed",K539*0.80,0)</x:f>
        <x:v>5600</x:v>
      </x:c>
      <x:c r="M539" t="n">
        <x:v>4.1</x:v>
      </x:c>
      <x:c r="N539" t="str">
        <x:v>No</x:v>
      </x:c>
      <x:c r="O539" t="str">
        <x:v>Customer Success</x:v>
      </x:c>
    </x:row>
    <x:row r="540">
      <x:c r="A540" t="str">
        <x:v>CRB5538</x:v>
      </x:c>
      <x:c r="B540" t="str">
        <x:v>2026-07-11</x:v>
      </x:c>
      <x:c r="C540" t="str">
        <x:v>Priya Sharma</x:v>
      </x:c>
      <x:c r="D540" t="str">
        <x:v>u3541</x:v>
      </x:c>
      <x:c r="E540" t="str">
        <x:v>Instagram</x:v>
      </x:c>
      <x:c r="F540" t="str">
        <x:v>Khurja</x:v>
      </x:c>
      <x:c r="G540" t="str">
        <x:v>Pottery</x:v>
      </x:c>
      <x:c r="H540" t="n">
        <x:v>1</x:v>
      </x:c>
      <x:c r="I540" t="n">
        <x:v>3000</x:v>
      </x:c>
      <x:c r="J540" t="str">
        <x:v>Completed</x:v>
      </x:c>
      <x:c r="K540" t="n">
        <x:f>H540*I540</x:f>
        <x:v>3000</x:v>
      </x:c>
      <x:c r="L540" s="16" t="n">
        <x:f>IF(J540="Completed",K540*0.80,0)</x:f>
        <x:v>2400</x:v>
      </x:c>
      <x:c r="M540" t="n">
        <x:v>4.3</x:v>
      </x:c>
      <x:c r="N540" t="str">
        <x:v>Yes</x:v>
      </x:c>
      <x:c r="O540" t="str">
        <x:v>Revenue / Enterprise Team</x:v>
      </x:c>
    </x:row>
    <x:row r="541">
      <x:c r="A541" t="str">
        <x:v>CRB5539</x:v>
      </x:c>
      <x:c r="B541" t="str">
        <x:v>2026-07-11</x:v>
      </x:c>
      <x:c r="C541" t="str">
        <x:v>Priya Sharma</x:v>
      </x:c>
      <x:c r="D541" t="str">
        <x:v>u3542</x:v>
      </x:c>
      <x:c r="E541" t="str">
        <x:v>Google Search</x:v>
      </x:c>
      <x:c r="F541" t="str">
        <x:v>Udaipur</x:v>
      </x:c>
      <x:c r="G541" t="str">
        <x:v>Weaving</x:v>
      </x:c>
      <x:c r="H541" t="n">
        <x:v>6</x:v>
      </x:c>
      <x:c r="I541" t="n">
        <x:v>1500</x:v>
      </x:c>
      <x:c r="J541" t="str">
        <x:v>Completed</x:v>
      </x:c>
      <x:c r="K541" t="n">
        <x:f>H541*I541</x:f>
        <x:v>9000</x:v>
      </x:c>
      <x:c r="L541" s="16" t="n">
        <x:f>IF(J541="Completed",K541*0.80,0)</x:f>
        <x:v>7200</x:v>
      </x:c>
      <x:c r="M541" t="n">
        <x:v>4.3</x:v>
      </x:c>
      <x:c r="N541" t="str">
        <x:v>No</x:v>
      </x:c>
      <x:c r="O541" t="str">
        <x:v>Traveler Success</x:v>
      </x:c>
    </x:row>
    <x:row r="542">
      <x:c r="A542" t="str">
        <x:v>CRB5540</x:v>
      </x:c>
      <x:c r="B542" t="str">
        <x:v>2026-07-11</x:v>
      </x:c>
      <x:c r="C542" t="str">
        <x:v>Sofia Martinez</x:v>
      </x:c>
      <x:c r="D542" t="str">
        <x:v>u3544</x:v>
      </x:c>
      <x:c r="E542" t="str">
        <x:v>Direct</x:v>
      </x:c>
      <x:c r="F542" t="str">
        <x:v>Varanasi</x:v>
      </x:c>
      <x:c r="G542" t="str">
        <x:v>Blue Pottery</x:v>
      </x:c>
      <x:c r="H542" t="n">
        <x:v>1</x:v>
      </x:c>
      <x:c r="I542" t="n">
        <x:v>2000</x:v>
      </x:c>
      <x:c r="J542" t="str">
        <x:v>Completed</x:v>
      </x:c>
      <x:c r="K542" t="n">
        <x:f>H542*I542</x:f>
        <x:v>2000</x:v>
      </x:c>
      <x:c r="L542" s="16" t="n">
        <x:f>IF(J542="Completed",K542*0.80,0)</x:f>
        <x:v>1600</x:v>
      </x:c>
      <x:c r="M542" t="n">
        <x:v>4.8</x:v>
      </x:c>
      <x:c r="N542" t="str">
        <x:v>No</x:v>
      </x:c>
      <x:c r="O542" t="str">
        <x:v>Revenue / Enterprise Team</x:v>
      </x:c>
    </x:row>
    <x:row r="543">
      <x:c r="A543" t="str">
        <x:v>CRB5541</x:v>
      </x:c>
      <x:c r="B543" t="str">
        <x:v>2026-07-11</x:v>
      </x:c>
      <x:c r="C543" t="str">
        <x:v>Rahul Mehta</x:v>
      </x:c>
      <x:c r="D543" t="str">
        <x:v>u3546</x:v>
      </x:c>
      <x:c r="E543" t="str">
        <x:v>Google Search</x:v>
      </x:c>
      <x:c r="F543" t="str">
        <x:v>Udaipur</x:v>
      </x:c>
      <x:c r="G543" t="str">
        <x:v>Block Printing</x:v>
      </x:c>
      <x:c r="H543" t="n">
        <x:v>3</x:v>
      </x:c>
      <x:c r="I543" t="n">
        <x:v>1800</x:v>
      </x:c>
      <x:c r="J543" t="str">
        <x:v>Completed</x:v>
      </x:c>
      <x:c r="K543" t="n">
        <x:f>H543*I543</x:f>
        <x:v>5400</x:v>
      </x:c>
      <x:c r="L543" s="16" t="n">
        <x:f>IF(J543="Completed",K543*0.80,0)</x:f>
        <x:v>4320</x:v>
      </x:c>
      <x:c r="M543" t="n">
        <x:v>4.1</x:v>
      </x:c>
      <x:c r="N543" t="str">
        <x:v>No</x:v>
      </x:c>
      <x:c r="O543" t="str">
        <x:v>Traveler Success</x:v>
      </x:c>
    </x:row>
    <x:row r="544">
      <x:c r="A544" t="str">
        <x:v>CRB5542</x:v>
      </x:c>
      <x:c r="B544" t="str">
        <x:v>2026-07-11</x:v>
      </x:c>
      <x:c r="C544" t="str">
        <x:v>Rahul Mehta</x:v>
      </x:c>
      <x:c r="D544" t="str">
        <x:v>u3550</x:v>
      </x:c>
      <x:c r="E544" t="str">
        <x:v>Direct</x:v>
      </x:c>
      <x:c r="F544" t="str">
        <x:v>Bangalore</x:v>
      </x:c>
      <x:c r="G544" t="str">
        <x:v>Pottery</x:v>
      </x:c>
      <x:c r="H544" t="n">
        <x:v>3</x:v>
      </x:c>
      <x:c r="I544" t="n">
        <x:v>3500</x:v>
      </x:c>
      <x:c r="J544" t="str">
        <x:v>Completed</x:v>
      </x:c>
      <x:c r="K544" t="n">
        <x:f>H544*I544</x:f>
        <x:v>10500</x:v>
      </x:c>
      <x:c r="L544" s="16" t="n">
        <x:f>IF(J544="Completed",K544*0.80,0)</x:f>
        <x:v>8400</x:v>
      </x:c>
      <x:c r="M544" t="n">
        <x:v>4</x:v>
      </x:c>
      <x:c r="N544" t="str">
        <x:v>No</x:v>
      </x:c>
      <x:c r="O544" t="str">
        <x:v>Customer Success</x:v>
      </x:c>
    </x:row>
    <x:row r="545">
      <x:c r="A545" t="str">
        <x:v>CRB5543</x:v>
      </x:c>
      <x:c r="B545" t="str">
        <x:v>2026-07-11</x:v>
      </x:c>
      <x:c r="C545" t="str">
        <x:v>Rahul Mehta</x:v>
      </x:c>
      <x:c r="D545" t="str">
        <x:v>u3555</x:v>
      </x:c>
      <x:c r="E545" t="str">
        <x:v>Direct</x:v>
      </x:c>
      <x:c r="F545" t="str">
        <x:v>Udaipur</x:v>
      </x:c>
      <x:c r="G545" t="str">
        <x:v>Block Printing</x:v>
      </x:c>
      <x:c r="H545" t="n">
        <x:v>1</x:v>
      </x:c>
      <x:c r="I545" t="n">
        <x:v>2000</x:v>
      </x:c>
      <x:c r="J545" t="str">
        <x:v>Completed</x:v>
      </x:c>
      <x:c r="K545" t="n">
        <x:f>H545*I545</x:f>
        <x:v>2000</x:v>
      </x:c>
      <x:c r="L545" s="16" t="n">
        <x:f>IF(J545="Completed",K545*0.80,0)</x:f>
        <x:v>1600</x:v>
      </x:c>
      <x:c r="M545" t="n">
        <x:v>4.4</x:v>
      </x:c>
      <x:c r="N545" t="str">
        <x:v>No</x:v>
      </x:c>
      <x:c r="O545" t="str">
        <x:v>Revenue / Enterprise Team</x:v>
      </x:c>
    </x:row>
    <x:row r="546">
      <x:c r="A546" t="str">
        <x:v>CRB5544</x:v>
      </x:c>
      <x:c r="B546" t="str">
        <x:v>2026-07-11</x:v>
      </x:c>
      <x:c r="C546" t="str">
        <x:v>Rahul Mehta</x:v>
      </x:c>
      <x:c r="D546" t="str">
        <x:v>u3568</x:v>
      </x:c>
      <x:c r="E546" t="str">
        <x:v>Google Search</x:v>
      </x:c>
      <x:c r="F546" t="str">
        <x:v>Bangalore</x:v>
      </x:c>
      <x:c r="G546" t="str">
        <x:v>Block Printing</x:v>
      </x:c>
      <x:c r="H546" t="n">
        <x:v>6</x:v>
      </x:c>
      <x:c r="I546" t="n">
        <x:v>3000</x:v>
      </x:c>
      <x:c r="J546" t="str">
        <x:v>Completed</x:v>
      </x:c>
      <x:c r="K546" t="n">
        <x:f>H546*I546</x:f>
        <x:v>18000</x:v>
      </x:c>
      <x:c r="L546" s="16" t="n">
        <x:f>IF(J546="Completed",K546*0.80,0)</x:f>
        <x:v>14400</x:v>
      </x:c>
      <x:c r="M546" t="n">
        <x:v>4.4</x:v>
      </x:c>
      <x:c r="N546" t="str">
        <x:v>No</x:v>
      </x:c>
      <x:c r="O546" t="str">
        <x:v>Traveler Success</x:v>
      </x:c>
    </x:row>
    <x:row r="547">
      <x:c r="A547" t="str">
        <x:v>CRB5545</x:v>
      </x:c>
      <x:c r="B547" t="str">
        <x:v>2026-07-11</x:v>
      </x:c>
      <x:c r="C547" t="str">
        <x:v>Sofia Martinez</x:v>
      </x:c>
      <x:c r="D547" t="str">
        <x:v>u3571</x:v>
      </x:c>
      <x:c r="E547" t="str">
        <x:v>Instagram</x:v>
      </x:c>
      <x:c r="F547" t="str">
        <x:v>Khurja</x:v>
      </x:c>
      <x:c r="G547" t="str">
        <x:v>Blue Pottery</x:v>
      </x:c>
      <x:c r="H547" t="n">
        <x:v>3</x:v>
      </x:c>
      <x:c r="I547" t="n">
        <x:v>1800</x:v>
      </x:c>
      <x:c r="J547" t="str">
        <x:v>Completed</x:v>
      </x:c>
      <x:c r="K547" t="n">
        <x:f>H547*I547</x:f>
        <x:v>5400</x:v>
      </x:c>
      <x:c r="L547" s="16" t="n">
        <x:f>IF(J547="Completed",K547*0.80,0)</x:f>
        <x:v>4320</x:v>
      </x:c>
      <x:c r="M547" t="n">
        <x:v>4.6</x:v>
      </x:c>
      <x:c r="N547" t="str">
        <x:v>No</x:v>
      </x:c>
      <x:c r="O547" t="str">
        <x:v>Customer Success</x:v>
      </x:c>
    </x:row>
    <x:row r="548">
      <x:c r="A548" t="str">
        <x:v>CRB5546</x:v>
      </x:c>
      <x:c r="B548" t="str">
        <x:v>2026-07-11</x:v>
      </x:c>
      <x:c r="C548" t="str">
        <x:v>Ananya Reddy</x:v>
      </x:c>
      <x:c r="D548" t="str">
        <x:v>u3575</x:v>
      </x:c>
      <x:c r="E548" t="str">
        <x:v>Referral</x:v>
      </x:c>
      <x:c r="F548" t="str">
        <x:v>Bangalore</x:v>
      </x:c>
      <x:c r="G548" t="str">
        <x:v>Blue Pottery</x:v>
      </x:c>
      <x:c r="H548" t="n">
        <x:v>3</x:v>
      </x:c>
      <x:c r="I548" t="n">
        <x:v>1500</x:v>
      </x:c>
      <x:c r="J548" t="str">
        <x:v>Completed</x:v>
      </x:c>
      <x:c r="K548" t="n">
        <x:f>H548*I548</x:f>
        <x:v>4500</x:v>
      </x:c>
      <x:c r="L548" s="16" t="n">
        <x:f>IF(J548="Completed",K548*0.80,0)</x:f>
        <x:v>3600</x:v>
      </x:c>
      <x:c r="M548" t="n">
        <x:v>4.3</x:v>
      </x:c>
      <x:c r="N548" t="str">
        <x:v>Yes</x:v>
      </x:c>
      <x:c r="O548" t="str">
        <x:v>Revenue / Enterprise Team</x:v>
      </x:c>
    </x:row>
    <x:row r="549">
      <x:c r="A549" t="str">
        <x:v>CRB5547</x:v>
      </x:c>
      <x:c r="B549" t="str">
        <x:v>2026-07-11</x:v>
      </x:c>
      <x:c r="C549" t="str">
        <x:v>Rahul Mehta</x:v>
      </x:c>
      <x:c r="D549" t="str">
        <x:v>u3577</x:v>
      </x:c>
      <x:c r="E549" t="str">
        <x:v>Referral</x:v>
      </x:c>
      <x:c r="F549" t="str">
        <x:v>Khurja</x:v>
      </x:c>
      <x:c r="G549" t="str">
        <x:v>Block Printing</x:v>
      </x:c>
      <x:c r="H549" t="n">
        <x:v>10</x:v>
      </x:c>
      <x:c r="I549" t="n">
        <x:v>3000</x:v>
      </x:c>
      <x:c r="J549" t="str">
        <x:v>Completed</x:v>
      </x:c>
      <x:c r="K549" t="n">
        <x:f>H549*I549</x:f>
        <x:v>30000</x:v>
      </x:c>
      <x:c r="L549" s="16" t="n">
        <x:f>IF(J549="Completed",K549*0.80,0)</x:f>
        <x:v>24000</x:v>
      </x:c>
      <x:c r="M549" t="n">
        <x:v>4.8</x:v>
      </x:c>
      <x:c r="N549" t="str">
        <x:v>No</x:v>
      </x:c>
      <x:c r="O549" t="str">
        <x:v>Traveler Success</x:v>
      </x:c>
    </x:row>
    <x:row r="550">
      <x:c r="A550" t="str">
        <x:v>CRB5548</x:v>
      </x:c>
      <x:c r="B550" t="str">
        <x:v>2026-07-11</x:v>
      </x:c>
      <x:c r="C550" t="str">
        <x:v>Rahul Mehta</x:v>
      </x:c>
      <x:c r="D550" t="str">
        <x:v>u3581</x:v>
      </x:c>
      <x:c r="E550" t="str">
        <x:v>Referral</x:v>
      </x:c>
      <x:c r="F550" t="str">
        <x:v>Khurja</x:v>
      </x:c>
      <x:c r="G550" t="str">
        <x:v>Warli Painting</x:v>
      </x:c>
      <x:c r="H550" t="n">
        <x:v>12</x:v>
      </x:c>
      <x:c r="I550" t="n">
        <x:v>1500</x:v>
      </x:c>
      <x:c r="J550" t="str">
        <x:v>Completed</x:v>
      </x:c>
      <x:c r="K550" t="n">
        <x:f>H550*I550</x:f>
        <x:v>18000</x:v>
      </x:c>
      <x:c r="L550" s="16" t="n">
        <x:f>IF(J550="Completed",K550*0.80,0)</x:f>
        <x:v>14400</x:v>
      </x:c>
      <x:c r="M550" t="n">
        <x:v>4.9</x:v>
      </x:c>
      <x:c r="N550" t="str">
        <x:v>No</x:v>
      </x:c>
      <x:c r="O550" t="str">
        <x:v>Revenue / Enterprise Team</x:v>
      </x:c>
    </x:row>
    <x:row r="551">
      <x:c r="A551" t="str">
        <x:v>CRB5549</x:v>
      </x:c>
      <x:c r="B551" t="str">
        <x:v>2026-07-11</x:v>
      </x:c>
      <x:c r="C551" t="str">
        <x:v>Priya Sharma</x:v>
      </x:c>
      <x:c r="D551" t="str">
        <x:v>u3584</x:v>
      </x:c>
      <x:c r="E551" t="str">
        <x:v>Instagram</x:v>
      </x:c>
      <x:c r="F551" t="str">
        <x:v>Udaipur</x:v>
      </x:c>
      <x:c r="G551" t="str">
        <x:v>Block Printing</x:v>
      </x:c>
      <x:c r="H551" t="n">
        <x:v>12</x:v>
      </x:c>
      <x:c r="I551" t="n">
        <x:v>2000</x:v>
      </x:c>
      <x:c r="J551" t="str">
        <x:v>Completed</x:v>
      </x:c>
      <x:c r="K551" t="n">
        <x:f>H551*I551</x:f>
        <x:v>24000</x:v>
      </x:c>
      <x:c r="L551" s="16" t="n">
        <x:f>IF(J551="Completed",K551*0.80,0)</x:f>
        <x:v>19200</x:v>
      </x:c>
      <x:c r="M551" t="n">
        <x:v>3.9</x:v>
      </x:c>
      <x:c r="N551" t="str">
        <x:v>No</x:v>
      </x:c>
      <x:c r="O551" t="str">
        <x:v>Customer Success</x:v>
      </x:c>
    </x:row>
    <x:row r="552">
      <x:c r="A552" t="str">
        <x:v>CRB5550</x:v>
      </x:c>
      <x:c r="B552" t="str">
        <x:v>2026-07-11</x:v>
      </x:c>
      <x:c r="C552" t="str">
        <x:v>Priya Sharma</x:v>
      </x:c>
      <x:c r="D552" t="str">
        <x:v>u3585</x:v>
      </x:c>
      <x:c r="E552" t="str">
        <x:v>Direct</x:v>
      </x:c>
      <x:c r="F552" t="str">
        <x:v>Jaipur</x:v>
      </x:c>
      <x:c r="G552" t="str">
        <x:v>Blue Pottery</x:v>
      </x:c>
      <x:c r="H552" t="n">
        <x:v>2</x:v>
      </x:c>
      <x:c r="I552" t="n">
        <x:v>2000</x:v>
      </x:c>
      <x:c r="J552" t="str">
        <x:v>Completed</x:v>
      </x:c>
      <x:c r="K552" t="n">
        <x:f>H552*I552</x:f>
        <x:v>4000</x:v>
      </x:c>
      <x:c r="L552" s="16" t="n">
        <x:f>IF(J552="Completed",K552*0.80,0)</x:f>
        <x:v>3200</x:v>
      </x:c>
      <x:c r="M552" t="n">
        <x:v>4</x:v>
      </x:c>
      <x:c r="N552" t="str">
        <x:v>No</x:v>
      </x:c>
      <x:c r="O552" t="str">
        <x:v>Revenue / Enterprise Team</x:v>
      </x:c>
    </x:row>
    <x:row r="553">
      <x:c r="A553" t="str">
        <x:v>CRB5551</x:v>
      </x:c>
      <x:c r="B553" t="str">
        <x:v>2026-07-11</x:v>
      </x:c>
      <x:c r="C553" t="str">
        <x:v>Sofia Martinez</x:v>
      </x:c>
      <x:c r="D553" t="str">
        <x:v>u3586</x:v>
      </x:c>
      <x:c r="E553" t="str">
        <x:v>Referral</x:v>
      </x:c>
      <x:c r="F553" t="str">
        <x:v>Jaipur</x:v>
      </x:c>
      <x:c r="G553" t="str">
        <x:v>Pottery</x:v>
      </x:c>
      <x:c r="H553" t="n">
        <x:v>10</x:v>
      </x:c>
      <x:c r="I553" t="n">
        <x:v>2200</x:v>
      </x:c>
      <x:c r="J553" t="str">
        <x:v>Completed</x:v>
      </x:c>
      <x:c r="K553" t="n">
        <x:f>H553*I553</x:f>
        <x:v>22000</x:v>
      </x:c>
      <x:c r="L553" s="16" t="n">
        <x:f>IF(J553="Completed",K553*0.80,0)</x:f>
        <x:v>17600</x:v>
      </x:c>
      <x:c r="M553" t="n">
        <x:v>4.3</x:v>
      </x:c>
      <x:c r="N553" t="str">
        <x:v>No</x:v>
      </x:c>
      <x:c r="O553" t="str">
        <x:v>Revenue / Enterprise Team</x:v>
      </x:c>
    </x:row>
    <x:row r="554">
      <x:c r="A554" t="str">
        <x:v>CRB5552</x:v>
      </x:c>
      <x:c r="B554" t="str">
        <x:v>2026-07-11</x:v>
      </x:c>
      <x:c r="C554" t="str">
        <x:v>Sofia Martinez</x:v>
      </x:c>
      <x:c r="D554" t="str">
        <x:v>u3588</x:v>
      </x:c>
      <x:c r="E554" t="str">
        <x:v>Referral</x:v>
      </x:c>
      <x:c r="F554" t="str">
        <x:v>Varanasi</x:v>
      </x:c>
      <x:c r="G554" t="str">
        <x:v>Weaving</x:v>
      </x:c>
      <x:c r="H554" t="n">
        <x:v>12</x:v>
      </x:c>
      <x:c r="I554" t="n">
        <x:v>3500</x:v>
      </x:c>
      <x:c r="J554" t="str">
        <x:v>Completed</x:v>
      </x:c>
      <x:c r="K554" t="n">
        <x:f>H554*I554</x:f>
        <x:v>42000</x:v>
      </x:c>
      <x:c r="L554" s="16" t="n">
        <x:f>IF(J554="Completed",K554*0.80,0)</x:f>
        <x:v>33600</x:v>
      </x:c>
      <x:c r="M554" t="n">
        <x:v>4.1</x:v>
      </x:c>
      <x:c r="N554" t="str">
        <x:v>Yes</x:v>
      </x:c>
      <x:c r="O554" t="str">
        <x:v>Traveler Success</x:v>
      </x:c>
    </x:row>
    <x:row r="555">
      <x:c r="A555" t="str">
        <x:v>CRB5553</x:v>
      </x:c>
      <x:c r="B555" t="str">
        <x:v>2026-07-11</x:v>
      </x:c>
      <x:c r="C555" t="str">
        <x:v>Rahul Mehta</x:v>
      </x:c>
      <x:c r="D555" t="str">
        <x:v>u3592</x:v>
      </x:c>
      <x:c r="E555" t="str">
        <x:v>Instagram</x:v>
      </x:c>
      <x:c r="F555" t="str">
        <x:v>Udaipur</x:v>
      </x:c>
      <x:c r="G555" t="str">
        <x:v>Pottery</x:v>
      </x:c>
      <x:c r="H555" t="n">
        <x:v>2</x:v>
      </x:c>
      <x:c r="I555" t="n">
        <x:v>3500</x:v>
      </x:c>
      <x:c r="J555" t="str">
        <x:v>Completed</x:v>
      </x:c>
      <x:c r="K555" t="n">
        <x:f>H555*I555</x:f>
        <x:v>7000</x:v>
      </x:c>
      <x:c r="L555" s="16" t="n">
        <x:f>IF(J555="Completed",K555*0.80,0)</x:f>
        <x:v>5600</x:v>
      </x:c>
      <x:c r="M555" t="n">
        <x:v>3.9</x:v>
      </x:c>
      <x:c r="N555" t="str">
        <x:v>Yes</x:v>
      </x:c>
      <x:c r="O555" t="str">
        <x:v>Revenue / Enterprise Team</x:v>
      </x:c>
    </x:row>
    <x:row r="556">
      <x:c r="A556" t="str">
        <x:v>CRB5554</x:v>
      </x:c>
      <x:c r="B556" t="str">
        <x:v>2026-07-11</x:v>
      </x:c>
      <x:c r="C556" t="str">
        <x:v>Priya Sharma</x:v>
      </x:c>
      <x:c r="D556" t="str">
        <x:v>u3593</x:v>
      </x:c>
      <x:c r="E556" t="str">
        <x:v>Instagram</x:v>
      </x:c>
      <x:c r="F556" t="str">
        <x:v>Varanasi</x:v>
      </x:c>
      <x:c r="G556" t="str">
        <x:v>Block Printing</x:v>
      </x:c>
      <x:c r="H556" t="n">
        <x:v>12</x:v>
      </x:c>
      <x:c r="I556" t="n">
        <x:v>1500</x:v>
      </x:c>
      <x:c r="J556" t="str">
        <x:v>Completed</x:v>
      </x:c>
      <x:c r="K556" t="n">
        <x:f>H556*I556</x:f>
        <x:v>18000</x:v>
      </x:c>
      <x:c r="L556" s="16" t="n">
        <x:f>IF(J556="Completed",K556*0.80,0)</x:f>
        <x:v>14400</x:v>
      </x:c>
      <x:c r="M556" t="n">
        <x:v>4.1</x:v>
      </x:c>
      <x:c r="N556" t="str">
        <x:v>Yes</x:v>
      </x:c>
      <x:c r="O556" t="str">
        <x:v>Customer Success</x:v>
      </x:c>
    </x:row>
    <x:row r="557">
      <x:c r="A557" t="str">
        <x:v>CRB5555</x:v>
      </x:c>
      <x:c r="B557" t="str">
        <x:v>2026-07-11</x:v>
      </x:c>
      <x:c r="C557" t="str">
        <x:v>Mark Thompson</x:v>
      </x:c>
      <x:c r="D557" t="str">
        <x:v>u3594</x:v>
      </x:c>
      <x:c r="E557" t="str">
        <x:v>Referral</x:v>
      </x:c>
      <x:c r="F557" t="str">
        <x:v>Bangalore</x:v>
      </x:c>
      <x:c r="G557" t="str">
        <x:v>Weaving</x:v>
      </x:c>
      <x:c r="H557" t="n">
        <x:v>2</x:v>
      </x:c>
      <x:c r="I557" t="n">
        <x:v>3000</x:v>
      </x:c>
      <x:c r="J557" t="str">
        <x:v>Completed</x:v>
      </x:c>
      <x:c r="K557" t="n">
        <x:f>H557*I557</x:f>
        <x:v>6000</x:v>
      </x:c>
      <x:c r="L557" s="16" t="n">
        <x:f>IF(J557="Completed",K557*0.80,0)</x:f>
        <x:v>4800</x:v>
      </x:c>
      <x:c r="M557" t="n">
        <x:v>4.3</x:v>
      </x:c>
      <x:c r="N557" t="str">
        <x:v>No</x:v>
      </x:c>
      <x:c r="O557" t="str">
        <x:v>Customer Success</x:v>
      </x:c>
    </x:row>
    <x:row r="558">
      <x:c r="A558" t="str">
        <x:v>CRB5556</x:v>
      </x:c>
      <x:c r="B558" t="str">
        <x:v>2026-07-11</x:v>
      </x:c>
      <x:c r="C558" t="str">
        <x:v>Ananya Reddy</x:v>
      </x:c>
      <x:c r="D558" t="str">
        <x:v>u3595</x:v>
      </x:c>
      <x:c r="E558" t="str">
        <x:v>Travel Blog</x:v>
      </x:c>
      <x:c r="F558" t="str">
        <x:v>Udaipur</x:v>
      </x:c>
      <x:c r="G558" t="str">
        <x:v>Warli Painting</x:v>
      </x:c>
      <x:c r="H558" t="n">
        <x:v>1</x:v>
      </x:c>
      <x:c r="I558" t="n">
        <x:v>2000</x:v>
      </x:c>
      <x:c r="J558" t="str">
        <x:v>Completed</x:v>
      </x:c>
      <x:c r="K558" t="n">
        <x:f>H558*I558</x:f>
        <x:v>2000</x:v>
      </x:c>
      <x:c r="L558" s="16" t="n">
        <x:f>IF(J558="Completed",K558*0.80,0)</x:f>
        <x:v>1600</x:v>
      </x:c>
      <x:c r="M558" t="n">
        <x:v>4.8</x:v>
      </x:c>
      <x:c r="N558" t="str">
        <x:v>No</x:v>
      </x:c>
      <x:c r="O558" t="str">
        <x:v>Traveler Success</x:v>
      </x:c>
    </x:row>
    <x:row r="559">
      <x:c r="A559" t="str">
        <x:v>CRB5557</x:v>
      </x:c>
      <x:c r="B559" t="str">
        <x:v>2026-07-11</x:v>
      </x:c>
      <x:c r="C559" t="str">
        <x:v>Priya Sharma</x:v>
      </x:c>
      <x:c r="D559" t="str">
        <x:v>u3600</x:v>
      </x:c>
      <x:c r="E559" t="str">
        <x:v>Direct</x:v>
      </x:c>
      <x:c r="F559" t="str">
        <x:v>Jaipur</x:v>
      </x:c>
      <x:c r="G559" t="str">
        <x:v>Block Printing</x:v>
      </x:c>
      <x:c r="H559" t="n">
        <x:v>12</x:v>
      </x:c>
      <x:c r="I559" t="n">
        <x:v>1500</x:v>
      </x:c>
      <x:c r="J559" t="str">
        <x:v>Cancelled</x:v>
      </x:c>
      <x:c r="K559" t="n">
        <x:f>H559*I559</x:f>
        <x:v>18000</x:v>
      </x:c>
      <x:c r="L559" s="16" t="n">
        <x:f>IF(J559="Completed",K559*0.80,0)</x:f>
        <x:v>0</x:v>
      </x:c>
      <x:c r="M559" t="str"/>
      <x:c r="N559" t="str">
        <x:v>Yes</x:v>
      </x:c>
      <x:c r="O559" t="str">
        <x:v>Revenue / Enterprise Team</x:v>
      </x:c>
    </x:row>
    <x:row r="560">
      <x:c r="A560" t="str">
        <x:v>CRB5558</x:v>
      </x:c>
      <x:c r="B560" t="str">
        <x:v>2026-07-11</x:v>
      </x:c>
      <x:c r="C560" t="str">
        <x:v>Ananya Reddy</x:v>
      </x:c>
      <x:c r="D560" t="str">
        <x:v>u3608</x:v>
      </x:c>
      <x:c r="E560" t="str">
        <x:v>Instagram</x:v>
      </x:c>
      <x:c r="F560" t="str">
        <x:v>Udaipur</x:v>
      </x:c>
      <x:c r="G560" t="str">
        <x:v>Blue Pottery</x:v>
      </x:c>
      <x:c r="H560" t="n">
        <x:v>1</x:v>
      </x:c>
      <x:c r="I560" t="n">
        <x:v>2200</x:v>
      </x:c>
      <x:c r="J560" t="str">
        <x:v>Completed</x:v>
      </x:c>
      <x:c r="K560" t="n">
        <x:f>H560*I560</x:f>
        <x:v>2200</x:v>
      </x:c>
      <x:c r="L560" s="16" t="n">
        <x:f>IF(J560="Completed",K560*0.80,0)</x:f>
        <x:v>1760</x:v>
      </x:c>
      <x:c r="M560" t="n">
        <x:v>4.1</x:v>
      </x:c>
      <x:c r="N560" t="str">
        <x:v>No</x:v>
      </x:c>
      <x:c r="O560" t="str">
        <x:v>Customer Success</x:v>
      </x:c>
    </x:row>
    <x:row r="561">
      <x:c r="A561" t="str">
        <x:v>CRB5559</x:v>
      </x:c>
      <x:c r="B561" t="str">
        <x:v>2026-07-11</x:v>
      </x:c>
      <x:c r="C561" t="str">
        <x:v>Rahul Mehta</x:v>
      </x:c>
      <x:c r="D561" t="str">
        <x:v>u3613</x:v>
      </x:c>
      <x:c r="E561" t="str">
        <x:v>Direct</x:v>
      </x:c>
      <x:c r="F561" t="str">
        <x:v>Khurja</x:v>
      </x:c>
      <x:c r="G561" t="str">
        <x:v>Block Printing</x:v>
      </x:c>
      <x:c r="H561" t="n">
        <x:v>1</x:v>
      </x:c>
      <x:c r="I561" t="n">
        <x:v>3000</x:v>
      </x:c>
      <x:c r="J561" t="str">
        <x:v>Completed</x:v>
      </x:c>
      <x:c r="K561" t="n">
        <x:f>H561*I561</x:f>
        <x:v>3000</x:v>
      </x:c>
      <x:c r="L561" s="16" t="n">
        <x:f>IF(J561="Completed",K561*0.80,0)</x:f>
        <x:v>2400</x:v>
      </x:c>
      <x:c r="M561" t="n">
        <x:v>3.9</x:v>
      </x:c>
      <x:c r="N561" t="str">
        <x:v>Yes</x:v>
      </x:c>
      <x:c r="O561" t="str">
        <x:v>Traveler Success</x:v>
      </x:c>
    </x:row>
    <x:row r="562">
      <x:c r="A562" t="str">
        <x:v>CRB5560</x:v>
      </x:c>
      <x:c r="B562" t="str">
        <x:v>2026-07-11</x:v>
      </x:c>
      <x:c r="C562" t="str">
        <x:v>Mark Thompson</x:v>
      </x:c>
      <x:c r="D562" t="str">
        <x:v>u3615</x:v>
      </x:c>
      <x:c r="E562" t="str">
        <x:v>Direct</x:v>
      </x:c>
      <x:c r="F562" t="str">
        <x:v>Udaipur</x:v>
      </x:c>
      <x:c r="G562" t="str">
        <x:v>Pottery</x:v>
      </x:c>
      <x:c r="H562" t="n">
        <x:v>1</x:v>
      </x:c>
      <x:c r="I562" t="n">
        <x:v>3000</x:v>
      </x:c>
      <x:c r="J562" t="str">
        <x:v>Completed</x:v>
      </x:c>
      <x:c r="K562" t="n">
        <x:f>H562*I562</x:f>
        <x:v>3000</x:v>
      </x:c>
      <x:c r="L562" s="16" t="n">
        <x:f>IF(J562="Completed",K562*0.80,0)</x:f>
        <x:v>2400</x:v>
      </x:c>
      <x:c r="M562" t="n">
        <x:v>4.5</x:v>
      </x:c>
      <x:c r="N562" t="str">
        <x:v>Yes</x:v>
      </x:c>
      <x:c r="O562" t="str">
        <x:v>Traveler Success</x:v>
      </x:c>
    </x:row>
    <x:row r="563">
      <x:c r="A563" t="str">
        <x:v>CRB5561</x:v>
      </x:c>
      <x:c r="B563" t="str">
        <x:v>2026-07-11</x:v>
      </x:c>
      <x:c r="C563" t="str">
        <x:v>Ananya Reddy</x:v>
      </x:c>
      <x:c r="D563" t="str">
        <x:v>u3619</x:v>
      </x:c>
      <x:c r="E563" t="str">
        <x:v>Direct</x:v>
      </x:c>
      <x:c r="F563" t="str">
        <x:v>Khurja</x:v>
      </x:c>
      <x:c r="G563" t="str">
        <x:v>Block Printing</x:v>
      </x:c>
      <x:c r="H563" t="n">
        <x:v>12</x:v>
      </x:c>
      <x:c r="I563" t="n">
        <x:v>2000</x:v>
      </x:c>
      <x:c r="J563" t="str">
        <x:v>Completed</x:v>
      </x:c>
      <x:c r="K563" t="n">
        <x:f>H563*I563</x:f>
        <x:v>24000</x:v>
      </x:c>
      <x:c r="L563" s="16" t="n">
        <x:f>IF(J563="Completed",K563*0.80,0)</x:f>
        <x:v>19200</x:v>
      </x:c>
      <x:c r="M563" t="n">
        <x:v>4.8</x:v>
      </x:c>
      <x:c r="N563" t="str">
        <x:v>No</x:v>
      </x:c>
      <x:c r="O563" t="str">
        <x:v>Revenue / Enterprise Team</x:v>
      </x:c>
    </x:row>
    <x:row r="564">
      <x:c r="A564" t="str">
        <x:v>CRB5562</x:v>
      </x:c>
      <x:c r="B564" t="str">
        <x:v>2026-07-11</x:v>
      </x:c>
      <x:c r="C564" t="str">
        <x:v>Ananya Reddy</x:v>
      </x:c>
      <x:c r="D564" t="str">
        <x:v>u3633</x:v>
      </x:c>
      <x:c r="E564" t="str">
        <x:v>Referral</x:v>
      </x:c>
      <x:c r="F564" t="str">
        <x:v>Khurja</x:v>
      </x:c>
      <x:c r="G564" t="str">
        <x:v>Block Printing</x:v>
      </x:c>
      <x:c r="H564" t="n">
        <x:v>10</x:v>
      </x:c>
      <x:c r="I564" t="n">
        <x:v>1800</x:v>
      </x:c>
      <x:c r="J564" t="str">
        <x:v>Completed</x:v>
      </x:c>
      <x:c r="K564" t="n">
        <x:f>H564*I564</x:f>
        <x:v>18000</x:v>
      </x:c>
      <x:c r="L564" s="16" t="n">
        <x:f>IF(J564="Completed",K564*0.80,0)</x:f>
        <x:v>14400</x:v>
      </x:c>
      <x:c r="M564" t="n">
        <x:v>4.5</x:v>
      </x:c>
      <x:c r="N564" t="str">
        <x:v>No</x:v>
      </x:c>
      <x:c r="O564" t="str">
        <x:v>Customer Success</x:v>
      </x:c>
    </x:row>
    <x:row r="565">
      <x:c r="A565" t="str">
        <x:v>CRB5563</x:v>
      </x:c>
      <x:c r="B565" t="str">
        <x:v>2026-07-11</x:v>
      </x:c>
      <x:c r="C565" t="str">
        <x:v>Rahul Mehta</x:v>
      </x:c>
      <x:c r="D565" t="str">
        <x:v>u3636</x:v>
      </x:c>
      <x:c r="E565" t="str">
        <x:v>Google Search</x:v>
      </x:c>
      <x:c r="F565" t="str">
        <x:v>Bangalore</x:v>
      </x:c>
      <x:c r="G565" t="str">
        <x:v>Block Printing</x:v>
      </x:c>
      <x:c r="H565" t="n">
        <x:v>12</x:v>
      </x:c>
      <x:c r="I565" t="n">
        <x:v>1800</x:v>
      </x:c>
      <x:c r="J565" t="str">
        <x:v>No-show</x:v>
      </x:c>
      <x:c r="K565" t="n">
        <x:f>H565*I565</x:f>
        <x:v>21600</x:v>
      </x:c>
      <x:c r="L565" s="16" t="n">
        <x:f>IF(J565="Completed",K565*0.80,0)</x:f>
        <x:v>0</x:v>
      </x:c>
      <x:c r="M565" t="str"/>
      <x:c r="N565" t="str">
        <x:v>No</x:v>
      </x:c>
      <x:c r="O565" t="str">
        <x:v>Revenue / Enterprise Team</x:v>
      </x:c>
    </x:row>
    <x:row r="566">
      <x:c r="A566" t="str">
        <x:v>CRB5564</x:v>
      </x:c>
      <x:c r="B566" t="str">
        <x:v>2026-07-11</x:v>
      </x:c>
      <x:c r="C566" t="str">
        <x:v>Mark Thompson</x:v>
      </x:c>
      <x:c r="D566" t="str">
        <x:v>u3640</x:v>
      </x:c>
      <x:c r="E566" t="str">
        <x:v>Google Search</x:v>
      </x:c>
      <x:c r="F566" t="str">
        <x:v>Khurja</x:v>
      </x:c>
      <x:c r="G566" t="str">
        <x:v>Blue Pottery</x:v>
      </x:c>
      <x:c r="H566" t="n">
        <x:v>1</x:v>
      </x:c>
      <x:c r="I566" t="n">
        <x:v>2000</x:v>
      </x:c>
      <x:c r="J566" t="str">
        <x:v>Completed</x:v>
      </x:c>
      <x:c r="K566" t="n">
        <x:f>H566*I566</x:f>
        <x:v>2000</x:v>
      </x:c>
      <x:c r="L566" s="16" t="n">
        <x:f>IF(J566="Completed",K566*0.80,0)</x:f>
        <x:v>1600</x:v>
      </x:c>
      <x:c r="M566" t="n">
        <x:v>4.9</x:v>
      </x:c>
      <x:c r="N566" t="str">
        <x:v>Yes</x:v>
      </x:c>
      <x:c r="O566" t="str">
        <x:v>Customer Success</x:v>
      </x:c>
    </x:row>
    <x:row r="567">
      <x:c r="A567" t="str">
        <x:v>CRB5565</x:v>
      </x:c>
      <x:c r="B567" t="str">
        <x:v>2026-07-11</x:v>
      </x:c>
      <x:c r="C567" t="str">
        <x:v>Sofia Martinez</x:v>
      </x:c>
      <x:c r="D567" t="str">
        <x:v>u3645</x:v>
      </x:c>
      <x:c r="E567" t="str">
        <x:v>Travel Blog</x:v>
      </x:c>
      <x:c r="F567" t="str">
        <x:v>Udaipur</x:v>
      </x:c>
      <x:c r="G567" t="str">
        <x:v>Block Printing</x:v>
      </x:c>
      <x:c r="H567" t="n">
        <x:v>1</x:v>
      </x:c>
      <x:c r="I567" t="n">
        <x:v>2500</x:v>
      </x:c>
      <x:c r="J567" t="str">
        <x:v>Completed</x:v>
      </x:c>
      <x:c r="K567" t="n">
        <x:f>H567*I567</x:f>
        <x:v>2500</x:v>
      </x:c>
      <x:c r="L567" s="16" t="n">
        <x:f>IF(J567="Completed",K567*0.80,0)</x:f>
        <x:v>2000</x:v>
      </x:c>
      <x:c r="M567" t="n">
        <x:v>3.8</x:v>
      </x:c>
      <x:c r="N567" t="str">
        <x:v>No</x:v>
      </x:c>
      <x:c r="O567" t="str">
        <x:v>Revenue / Enterprise Team</x:v>
      </x:c>
    </x:row>
    <x:row r="568">
      <x:c r="A568" t="str">
        <x:v>CRB5566</x:v>
      </x:c>
      <x:c r="B568" t="str">
        <x:v>2026-07-11</x:v>
      </x:c>
      <x:c r="C568" t="str">
        <x:v>Sofia Martinez</x:v>
      </x:c>
      <x:c r="D568" t="str">
        <x:v>u3646</x:v>
      </x:c>
      <x:c r="E568" t="str">
        <x:v>Google Search</x:v>
      </x:c>
      <x:c r="F568" t="str">
        <x:v>Jaipur</x:v>
      </x:c>
      <x:c r="G568" t="str">
        <x:v>Weaving</x:v>
      </x:c>
      <x:c r="H568" t="n">
        <x:v>2</x:v>
      </x:c>
      <x:c r="I568" t="n">
        <x:v>3500</x:v>
      </x:c>
      <x:c r="J568" t="str">
        <x:v>Completed</x:v>
      </x:c>
      <x:c r="K568" t="n">
        <x:f>H568*I568</x:f>
        <x:v>7000</x:v>
      </x:c>
      <x:c r="L568" s="16" t="n">
        <x:f>IF(J568="Completed",K568*0.80,0)</x:f>
        <x:v>5600</x:v>
      </x:c>
      <x:c r="M568" t="n">
        <x:v>4</x:v>
      </x:c>
      <x:c r="N568" t="str">
        <x:v>No</x:v>
      </x:c>
      <x:c r="O568" t="str">
        <x:v>Customer Success</x:v>
      </x:c>
    </x:row>
    <x:row r="569">
      <x:c r="A569" t="str">
        <x:v>CRB5567</x:v>
      </x:c>
      <x:c r="B569" t="str">
        <x:v>2026-07-11</x:v>
      </x:c>
      <x:c r="C569" t="str">
        <x:v>Sofia Martinez</x:v>
      </x:c>
      <x:c r="D569" t="str">
        <x:v>u3653</x:v>
      </x:c>
      <x:c r="E569" t="str">
        <x:v>Instagram</x:v>
      </x:c>
      <x:c r="F569" t="str">
        <x:v>Varanasi</x:v>
      </x:c>
      <x:c r="G569" t="str">
        <x:v>Block Printing</x:v>
      </x:c>
      <x:c r="H569" t="n">
        <x:v>1</x:v>
      </x:c>
      <x:c r="I569" t="n">
        <x:v>1800</x:v>
      </x:c>
      <x:c r="J569" t="str">
        <x:v>Completed</x:v>
      </x:c>
      <x:c r="K569" t="n">
        <x:f>H569*I569</x:f>
        <x:v>1800</x:v>
      </x:c>
      <x:c r="L569" s="16" t="n">
        <x:f>IF(J569="Completed",K569*0.80,0)</x:f>
        <x:v>1440</x:v>
      </x:c>
      <x:c r="M569" t="n">
        <x:v>4.7</x:v>
      </x:c>
      <x:c r="N569" t="str">
        <x:v>No</x:v>
      </x:c>
      <x:c r="O569" t="str">
        <x:v>Customer Success</x:v>
      </x:c>
    </x:row>
    <x:row r="570">
      <x:c r="A570" t="str">
        <x:v>CRB5568</x:v>
      </x:c>
      <x:c r="B570" t="str">
        <x:v>2026-07-11</x:v>
      </x:c>
      <x:c r="C570" t="str">
        <x:v>Ananya Reddy</x:v>
      </x:c>
      <x:c r="D570" t="str">
        <x:v>u3656</x:v>
      </x:c>
      <x:c r="E570" t="str">
        <x:v>Instagram</x:v>
      </x:c>
      <x:c r="F570" t="str">
        <x:v>Udaipur</x:v>
      </x:c>
      <x:c r="G570" t="str">
        <x:v>Blue Pottery</x:v>
      </x:c>
      <x:c r="H570" t="n">
        <x:v>4</x:v>
      </x:c>
      <x:c r="I570" t="n">
        <x:v>3500</x:v>
      </x:c>
      <x:c r="J570" t="str">
        <x:v>Completed</x:v>
      </x:c>
      <x:c r="K570" t="n">
        <x:f>H570*I570</x:f>
        <x:v>14000</x:v>
      </x:c>
      <x:c r="L570" s="16" t="n">
        <x:f>IF(J570="Completed",K570*0.80,0)</x:f>
        <x:v>11200</x:v>
      </x:c>
      <x:c r="M570" t="n">
        <x:v>4.5</x:v>
      </x:c>
      <x:c r="N570" t="str">
        <x:v>Yes</x:v>
      </x:c>
      <x:c r="O570" t="str">
        <x:v>Customer Success</x:v>
      </x:c>
    </x:row>
    <x:row r="571">
      <x:c r="A571" t="str">
        <x:v>CRB5569</x:v>
      </x:c>
      <x:c r="B571" t="str">
        <x:v>2026-07-11</x:v>
      </x:c>
      <x:c r="C571" t="str">
        <x:v>Sofia Martinez</x:v>
      </x:c>
      <x:c r="D571" t="str">
        <x:v>u3665</x:v>
      </x:c>
      <x:c r="E571" t="str">
        <x:v>Google Search</x:v>
      </x:c>
      <x:c r="F571" t="str">
        <x:v>Udaipur</x:v>
      </x:c>
      <x:c r="G571" t="str">
        <x:v>Weaving</x:v>
      </x:c>
      <x:c r="H571" t="n">
        <x:v>6</x:v>
      </x:c>
      <x:c r="I571" t="n">
        <x:v>2500</x:v>
      </x:c>
      <x:c r="J571" t="str">
        <x:v>Completed</x:v>
      </x:c>
      <x:c r="K571" t="n">
        <x:f>H571*I571</x:f>
        <x:v>15000</x:v>
      </x:c>
      <x:c r="L571" s="16" t="n">
        <x:f>IF(J571="Completed",K571*0.80,0)</x:f>
        <x:v>12000</x:v>
      </x:c>
      <x:c r="M571" t="n">
        <x:v>3.9</x:v>
      </x:c>
      <x:c r="N571" t="str">
        <x:v>No</x:v>
      </x:c>
      <x:c r="O571" t="str">
        <x:v>Traveler Success</x:v>
      </x:c>
    </x:row>
    <x:row r="572">
      <x:c r="A572" t="str">
        <x:v>CRB5570</x:v>
      </x:c>
      <x:c r="B572" t="str">
        <x:v>2026-07-12</x:v>
      </x:c>
      <x:c r="C572" t="str">
        <x:v>Mark Thompson</x:v>
      </x:c>
      <x:c r="D572" t="str">
        <x:v>u3676</x:v>
      </x:c>
      <x:c r="E572" t="str">
        <x:v>Google Search</x:v>
      </x:c>
      <x:c r="F572" t="str">
        <x:v>Udaipur</x:v>
      </x:c>
      <x:c r="G572" t="str">
        <x:v>Block Printing</x:v>
      </x:c>
      <x:c r="H572" t="n">
        <x:v>3</x:v>
      </x:c>
      <x:c r="I572" t="n">
        <x:v>2500</x:v>
      </x:c>
      <x:c r="J572" t="str">
        <x:v>Completed</x:v>
      </x:c>
      <x:c r="K572" t="n">
        <x:f>H572*I572</x:f>
        <x:v>7500</x:v>
      </x:c>
      <x:c r="L572" s="16" t="n">
        <x:f>IF(J572="Completed",K572*0.80,0)</x:f>
        <x:v>6000</x:v>
      </x:c>
      <x:c r="M572" t="n">
        <x:v>4.9</x:v>
      </x:c>
      <x:c r="N572" t="str">
        <x:v>No</x:v>
      </x:c>
      <x:c r="O572" t="str">
        <x:v>Customer Success</x:v>
      </x:c>
    </x:row>
    <x:row r="573">
      <x:c r="A573" t="str">
        <x:v>CRB5571</x:v>
      </x:c>
      <x:c r="B573" t="str">
        <x:v>2026-07-12</x:v>
      </x:c>
      <x:c r="C573" t="str">
        <x:v>Mark Thompson</x:v>
      </x:c>
      <x:c r="D573" t="str">
        <x:v>u3679</x:v>
      </x:c>
      <x:c r="E573" t="str">
        <x:v>Referral</x:v>
      </x:c>
      <x:c r="F573" t="str">
        <x:v>Varanasi</x:v>
      </x:c>
      <x:c r="G573" t="str">
        <x:v>Warli Painting</x:v>
      </x:c>
      <x:c r="H573" t="n">
        <x:v>3</x:v>
      </x:c>
      <x:c r="I573" t="n">
        <x:v>2500</x:v>
      </x:c>
      <x:c r="J573" t="str">
        <x:v>Completed</x:v>
      </x:c>
      <x:c r="K573" t="n">
        <x:f>H573*I573</x:f>
        <x:v>7500</x:v>
      </x:c>
      <x:c r="L573" s="16" t="n">
        <x:f>IF(J573="Completed",K573*0.80,0)</x:f>
        <x:v>6000</x:v>
      </x:c>
      <x:c r="M573" t="n">
        <x:v>4.8</x:v>
      </x:c>
      <x:c r="N573" t="str">
        <x:v>Yes</x:v>
      </x:c>
      <x:c r="O573" t="str">
        <x:v>Traveler Success</x:v>
      </x:c>
    </x:row>
    <x:row r="574">
      <x:c r="A574" t="str">
        <x:v>CRB5572</x:v>
      </x:c>
      <x:c r="B574" t="str">
        <x:v>2026-07-12</x:v>
      </x:c>
      <x:c r="C574" t="str">
        <x:v>Sofia Martinez</x:v>
      </x:c>
      <x:c r="D574" t="str">
        <x:v>u3682</x:v>
      </x:c>
      <x:c r="E574" t="str">
        <x:v>Instagram</x:v>
      </x:c>
      <x:c r="F574" t="str">
        <x:v>Jaipur</x:v>
      </x:c>
      <x:c r="G574" t="str">
        <x:v>Pottery</x:v>
      </x:c>
      <x:c r="H574" t="n">
        <x:v>12</x:v>
      </x:c>
      <x:c r="I574" t="n">
        <x:v>2000</x:v>
      </x:c>
      <x:c r="J574" t="str">
        <x:v>Completed</x:v>
      </x:c>
      <x:c r="K574" t="n">
        <x:f>H574*I574</x:f>
        <x:v>24000</x:v>
      </x:c>
      <x:c r="L574" s="16" t="n">
        <x:f>IF(J574="Completed",K574*0.80,0)</x:f>
        <x:v>19200</x:v>
      </x:c>
      <x:c r="M574" t="n">
        <x:v>4.7</x:v>
      </x:c>
      <x:c r="N574" t="str">
        <x:v>Yes</x:v>
      </x:c>
      <x:c r="O574" t="str">
        <x:v>Customer Success</x:v>
      </x:c>
    </x:row>
    <x:row r="575">
      <x:c r="A575" t="str">
        <x:v>CRB5573</x:v>
      </x:c>
      <x:c r="B575" t="str">
        <x:v>2026-07-12</x:v>
      </x:c>
      <x:c r="C575" t="str">
        <x:v>Mark Thompson</x:v>
      </x:c>
      <x:c r="D575" t="str">
        <x:v>u3687</x:v>
      </x:c>
      <x:c r="E575" t="str">
        <x:v>Direct</x:v>
      </x:c>
      <x:c r="F575" t="str">
        <x:v>Udaipur</x:v>
      </x:c>
      <x:c r="G575" t="str">
        <x:v>Pottery</x:v>
      </x:c>
      <x:c r="H575" t="n">
        <x:v>3</x:v>
      </x:c>
      <x:c r="I575" t="n">
        <x:v>1500</x:v>
      </x:c>
      <x:c r="J575" t="str">
        <x:v>Completed</x:v>
      </x:c>
      <x:c r="K575" t="n">
        <x:f>H575*I575</x:f>
        <x:v>4500</x:v>
      </x:c>
      <x:c r="L575" s="16" t="n">
        <x:f>IF(J575="Completed",K575*0.80,0)</x:f>
        <x:v>3600</x:v>
      </x:c>
      <x:c r="M575" t="n">
        <x:v>5</x:v>
      </x:c>
      <x:c r="N575" t="str">
        <x:v>No</x:v>
      </x:c>
      <x:c r="O575" t="str">
        <x:v>Customer Success</x:v>
      </x:c>
    </x:row>
    <x:row r="576">
      <x:c r="A576" t="str">
        <x:v>CRB5574</x:v>
      </x:c>
      <x:c r="B576" t="str">
        <x:v>2026-07-12</x:v>
      </x:c>
      <x:c r="C576" t="str">
        <x:v>Rahul Mehta</x:v>
      </x:c>
      <x:c r="D576" t="str">
        <x:v>u3691</x:v>
      </x:c>
      <x:c r="E576" t="str">
        <x:v>Instagram</x:v>
      </x:c>
      <x:c r="F576" t="str">
        <x:v>Udaipur</x:v>
      </x:c>
      <x:c r="G576" t="str">
        <x:v>Weaving</x:v>
      </x:c>
      <x:c r="H576" t="n">
        <x:v>6</x:v>
      </x:c>
      <x:c r="I576" t="n">
        <x:v>2000</x:v>
      </x:c>
      <x:c r="J576" t="str">
        <x:v>Completed</x:v>
      </x:c>
      <x:c r="K576" t="n">
        <x:f>H576*I576</x:f>
        <x:v>12000</x:v>
      </x:c>
      <x:c r="L576" s="16" t="n">
        <x:f>IF(J576="Completed",K576*0.80,0)</x:f>
        <x:v>9600</x:v>
      </x:c>
      <x:c r="M576" t="n">
        <x:v>4.4</x:v>
      </x:c>
      <x:c r="N576" t="str">
        <x:v>No</x:v>
      </x:c>
      <x:c r="O576" t="str">
        <x:v>Revenue / Enterprise Team</x:v>
      </x:c>
    </x:row>
    <x:row r="577">
      <x:c r="A577" t="str">
        <x:v>CRB5575</x:v>
      </x:c>
      <x:c r="B577" t="str">
        <x:v>2026-07-12</x:v>
      </x:c>
      <x:c r="C577" t="str">
        <x:v>Sofia Martinez</x:v>
      </x:c>
      <x:c r="D577" t="str">
        <x:v>u3699</x:v>
      </x:c>
      <x:c r="E577" t="str">
        <x:v>Instagram</x:v>
      </x:c>
      <x:c r="F577" t="str">
        <x:v>Varanasi</x:v>
      </x:c>
      <x:c r="G577" t="str">
        <x:v>Blue Pottery</x:v>
      </x:c>
      <x:c r="H577" t="n">
        <x:v>2</x:v>
      </x:c>
      <x:c r="I577" t="n">
        <x:v>3500</x:v>
      </x:c>
      <x:c r="J577" t="str">
        <x:v>Completed</x:v>
      </x:c>
      <x:c r="K577" t="n">
        <x:f>H577*I577</x:f>
        <x:v>7000</x:v>
      </x:c>
      <x:c r="L577" s="16" t="n">
        <x:f>IF(J577="Completed",K577*0.80,0)</x:f>
        <x:v>5600</x:v>
      </x:c>
      <x:c r="M577" t="n">
        <x:v>4.7</x:v>
      </x:c>
      <x:c r="N577" t="str">
        <x:v>No</x:v>
      </x:c>
      <x:c r="O577" t="str">
        <x:v>Traveler Success</x:v>
      </x:c>
    </x:row>
    <x:row r="578">
      <x:c r="A578" t="str">
        <x:v>CRB5576</x:v>
      </x:c>
      <x:c r="B578" t="str">
        <x:v>2026-07-12</x:v>
      </x:c>
      <x:c r="C578" t="str">
        <x:v>Priya Sharma</x:v>
      </x:c>
      <x:c r="D578" t="str">
        <x:v>u3704</x:v>
      </x:c>
      <x:c r="E578" t="str">
        <x:v>Direct</x:v>
      </x:c>
      <x:c r="F578" t="str">
        <x:v>Jaipur</x:v>
      </x:c>
      <x:c r="G578" t="str">
        <x:v>Warli Painting</x:v>
      </x:c>
      <x:c r="H578" t="n">
        <x:v>1</x:v>
      </x:c>
      <x:c r="I578" t="n">
        <x:v>3500</x:v>
      </x:c>
      <x:c r="J578" t="str">
        <x:v>Completed</x:v>
      </x:c>
      <x:c r="K578" t="n">
        <x:f>H578*I578</x:f>
        <x:v>3500</x:v>
      </x:c>
      <x:c r="L578" s="16" t="n">
        <x:f>IF(J578="Completed",K578*0.80,0)</x:f>
        <x:v>2800</x:v>
      </x:c>
      <x:c r="M578" t="n">
        <x:v>4</x:v>
      </x:c>
      <x:c r="N578" t="str">
        <x:v>Yes</x:v>
      </x:c>
      <x:c r="O578" t="str">
        <x:v>Traveler Success</x:v>
      </x:c>
    </x:row>
    <x:row r="579">
      <x:c r="A579" t="str">
        <x:v>CRB5577</x:v>
      </x:c>
      <x:c r="B579" t="str">
        <x:v>2026-07-12</x:v>
      </x:c>
      <x:c r="C579" t="str">
        <x:v>Priya Sharma</x:v>
      </x:c>
      <x:c r="D579" t="str">
        <x:v>u3711</x:v>
      </x:c>
      <x:c r="E579" t="str">
        <x:v>Referral</x:v>
      </x:c>
      <x:c r="F579" t="str">
        <x:v>Udaipur</x:v>
      </x:c>
      <x:c r="G579" t="str">
        <x:v>Warli Painting</x:v>
      </x:c>
      <x:c r="H579" t="n">
        <x:v>6</x:v>
      </x:c>
      <x:c r="I579" t="n">
        <x:v>3500</x:v>
      </x:c>
      <x:c r="J579" t="str">
        <x:v>Completed</x:v>
      </x:c>
      <x:c r="K579" t="n">
        <x:f>H579*I579</x:f>
        <x:v>21000</x:v>
      </x:c>
      <x:c r="L579" s="16" t="n">
        <x:f>IF(J579="Completed",K579*0.80,0)</x:f>
        <x:v>16800</x:v>
      </x:c>
      <x:c r="M579" t="n">
        <x:v>3.8</x:v>
      </x:c>
      <x:c r="N579" t="str">
        <x:v>No</x:v>
      </x:c>
      <x:c r="O579" t="str">
        <x:v>Customer Success</x:v>
      </x:c>
    </x:row>
    <x:row r="580">
      <x:c r="A580" t="str">
        <x:v>CRB5578</x:v>
      </x:c>
      <x:c r="B580" t="str">
        <x:v>2026-07-12</x:v>
      </x:c>
      <x:c r="C580" t="str">
        <x:v>Priya Sharma</x:v>
      </x:c>
      <x:c r="D580" t="str">
        <x:v>u3712</x:v>
      </x:c>
      <x:c r="E580" t="str">
        <x:v>Google Search</x:v>
      </x:c>
      <x:c r="F580" t="str">
        <x:v>Jaipur</x:v>
      </x:c>
      <x:c r="G580" t="str">
        <x:v>Weaving</x:v>
      </x:c>
      <x:c r="H580" t="n">
        <x:v>10</x:v>
      </x:c>
      <x:c r="I580" t="n">
        <x:v>2200</x:v>
      </x:c>
      <x:c r="J580" t="str">
        <x:v>Completed</x:v>
      </x:c>
      <x:c r="K580" t="n">
        <x:f>H580*I580</x:f>
        <x:v>22000</x:v>
      </x:c>
      <x:c r="L580" s="16" t="n">
        <x:f>IF(J580="Completed",K580*0.80,0)</x:f>
        <x:v>17600</x:v>
      </x:c>
      <x:c r="M580" t="n">
        <x:v>4.9</x:v>
      </x:c>
      <x:c r="N580" t="str">
        <x:v>No</x:v>
      </x:c>
      <x:c r="O580" t="str">
        <x:v>Customer Success</x:v>
      </x:c>
    </x:row>
    <x:row r="581">
      <x:c r="A581" t="str">
        <x:v>CRB5579</x:v>
      </x:c>
      <x:c r="B581" t="str">
        <x:v>2026-07-12</x:v>
      </x:c>
      <x:c r="C581" t="str">
        <x:v>Ananya Reddy</x:v>
      </x:c>
      <x:c r="D581" t="str">
        <x:v>u3713</x:v>
      </x:c>
      <x:c r="E581" t="str">
        <x:v>Travel Blog</x:v>
      </x:c>
      <x:c r="F581" t="str">
        <x:v>Udaipur</x:v>
      </x:c>
      <x:c r="G581" t="str">
        <x:v>Weaving</x:v>
      </x:c>
      <x:c r="H581" t="n">
        <x:v>6</x:v>
      </x:c>
      <x:c r="I581" t="n">
        <x:v>2000</x:v>
      </x:c>
      <x:c r="J581" t="str">
        <x:v>Completed</x:v>
      </x:c>
      <x:c r="K581" t="n">
        <x:f>H581*I581</x:f>
        <x:v>12000</x:v>
      </x:c>
      <x:c r="L581" s="16" t="n">
        <x:f>IF(J581="Completed",K581*0.80,0)</x:f>
        <x:v>9600</x:v>
      </x:c>
      <x:c r="M581" t="n">
        <x:v>4.6</x:v>
      </x:c>
      <x:c r="N581" t="str">
        <x:v>No</x:v>
      </x:c>
      <x:c r="O581" t="str">
        <x:v>Traveler Success</x:v>
      </x:c>
    </x:row>
    <x:row r="582">
      <x:c r="A582" t="str">
        <x:v>CRB5580</x:v>
      </x:c>
      <x:c r="B582" t="str">
        <x:v>2026-07-12</x:v>
      </x:c>
      <x:c r="C582" t="str">
        <x:v>Sofia Martinez</x:v>
      </x:c>
      <x:c r="D582" t="str">
        <x:v>u3731</x:v>
      </x:c>
      <x:c r="E582" t="str">
        <x:v>Instagram</x:v>
      </x:c>
      <x:c r="F582" t="str">
        <x:v>Bangalore</x:v>
      </x:c>
      <x:c r="G582" t="str">
        <x:v>Warli Painting</x:v>
      </x:c>
      <x:c r="H582" t="n">
        <x:v>10</x:v>
      </x:c>
      <x:c r="I582" t="n">
        <x:v>1800</x:v>
      </x:c>
      <x:c r="J582" t="str">
        <x:v>Completed</x:v>
      </x:c>
      <x:c r="K582" t="n">
        <x:f>H582*I582</x:f>
        <x:v>18000</x:v>
      </x:c>
      <x:c r="L582" s="16" t="n">
        <x:f>IF(J582="Completed",K582*0.80,0)</x:f>
        <x:v>14400</x:v>
      </x:c>
      <x:c r="M582" t="n">
        <x:v>4</x:v>
      </x:c>
      <x:c r="N582" t="str">
        <x:v>No</x:v>
      </x:c>
      <x:c r="O582" t="str">
        <x:v>Revenue / Enterprise Team</x:v>
      </x:c>
    </x:row>
    <x:row r="583">
      <x:c r="A583" t="str">
        <x:v>CRB5581</x:v>
      </x:c>
      <x:c r="B583" t="str">
        <x:v>2026-07-12</x:v>
      </x:c>
      <x:c r="C583" t="str">
        <x:v>Rahul Mehta</x:v>
      </x:c>
      <x:c r="D583" t="str">
        <x:v>u3733</x:v>
      </x:c>
      <x:c r="E583" t="str">
        <x:v>Referral</x:v>
      </x:c>
      <x:c r="F583" t="str">
        <x:v>Varanasi</x:v>
      </x:c>
      <x:c r="G583" t="str">
        <x:v>Weaving</x:v>
      </x:c>
      <x:c r="H583" t="n">
        <x:v>4</x:v>
      </x:c>
      <x:c r="I583" t="n">
        <x:v>2000</x:v>
      </x:c>
      <x:c r="J583" t="str">
        <x:v>Completed</x:v>
      </x:c>
      <x:c r="K583" t="n">
        <x:f>H583*I583</x:f>
        <x:v>8000</x:v>
      </x:c>
      <x:c r="L583" s="16" t="n">
        <x:f>IF(J583="Completed",K583*0.80,0)</x:f>
        <x:v>6400</x:v>
      </x:c>
      <x:c r="M583" t="n">
        <x:v>4.2</x:v>
      </x:c>
      <x:c r="N583" t="str">
        <x:v>No</x:v>
      </x:c>
      <x:c r="O583" t="str">
        <x:v>Traveler Success</x:v>
      </x:c>
    </x:row>
    <x:row r="584">
      <x:c r="A584" t="str">
        <x:v>CRB5582</x:v>
      </x:c>
      <x:c r="B584" t="str">
        <x:v>2026-07-12</x:v>
      </x:c>
      <x:c r="C584" t="str">
        <x:v>Sofia Martinez</x:v>
      </x:c>
      <x:c r="D584" t="str">
        <x:v>u3735</x:v>
      </x:c>
      <x:c r="E584" t="str">
        <x:v>Instagram</x:v>
      </x:c>
      <x:c r="F584" t="str">
        <x:v>Bangalore</x:v>
      </x:c>
      <x:c r="G584" t="str">
        <x:v>Block Printing</x:v>
      </x:c>
      <x:c r="H584" t="n">
        <x:v>3</x:v>
      </x:c>
      <x:c r="I584" t="n">
        <x:v>3000</x:v>
      </x:c>
      <x:c r="J584" t="str">
        <x:v>Completed</x:v>
      </x:c>
      <x:c r="K584" t="n">
        <x:f>H584*I584</x:f>
        <x:v>9000</x:v>
      </x:c>
      <x:c r="L584" s="16" t="n">
        <x:f>IF(J584="Completed",K584*0.80,0)</x:f>
        <x:v>7200</x:v>
      </x:c>
      <x:c r="M584" t="n">
        <x:v>4.9</x:v>
      </x:c>
      <x:c r="N584" t="str">
        <x:v>No</x:v>
      </x:c>
      <x:c r="O584" t="str">
        <x:v>Traveler Success</x:v>
      </x:c>
    </x:row>
    <x:row r="585">
      <x:c r="A585" t="str">
        <x:v>CRB5583</x:v>
      </x:c>
      <x:c r="B585" t="str">
        <x:v>2026-07-12</x:v>
      </x:c>
      <x:c r="C585" t="str">
        <x:v>Ananya Reddy</x:v>
      </x:c>
      <x:c r="D585" t="str">
        <x:v>u3741</x:v>
      </x:c>
      <x:c r="E585" t="str">
        <x:v>Direct</x:v>
      </x:c>
      <x:c r="F585" t="str">
        <x:v>Varanasi</x:v>
      </x:c>
      <x:c r="G585" t="str">
        <x:v>Block Printing</x:v>
      </x:c>
      <x:c r="H585" t="n">
        <x:v>1</x:v>
      </x:c>
      <x:c r="I585" t="n">
        <x:v>1500</x:v>
      </x:c>
      <x:c r="J585" t="str">
        <x:v>Completed</x:v>
      </x:c>
      <x:c r="K585" t="n">
        <x:f>H585*I585</x:f>
        <x:v>1500</x:v>
      </x:c>
      <x:c r="L585" s="16" t="n">
        <x:f>IF(J585="Completed",K585*0.80,0)</x:f>
        <x:v>1200</x:v>
      </x:c>
      <x:c r="M585" t="n">
        <x:v>3.8</x:v>
      </x:c>
      <x:c r="N585" t="str">
        <x:v>No</x:v>
      </x:c>
      <x:c r="O585" t="str">
        <x:v>Traveler Success</x:v>
      </x:c>
    </x:row>
    <x:row r="586">
      <x:c r="A586" t="str">
        <x:v>CRB5584</x:v>
      </x:c>
      <x:c r="B586" t="str">
        <x:v>2026-07-12</x:v>
      </x:c>
      <x:c r="C586" t="str">
        <x:v>Mark Thompson</x:v>
      </x:c>
      <x:c r="D586" t="str">
        <x:v>u3744</x:v>
      </x:c>
      <x:c r="E586" t="str">
        <x:v>Travel Blog</x:v>
      </x:c>
      <x:c r="F586" t="str">
        <x:v>Jaipur</x:v>
      </x:c>
      <x:c r="G586" t="str">
        <x:v>Warli Painting</x:v>
      </x:c>
      <x:c r="H586" t="n">
        <x:v>10</x:v>
      </x:c>
      <x:c r="I586" t="n">
        <x:v>2500</x:v>
      </x:c>
      <x:c r="J586" t="str">
        <x:v>Completed</x:v>
      </x:c>
      <x:c r="K586" t="n">
        <x:f>H586*I586</x:f>
        <x:v>25000</x:v>
      </x:c>
      <x:c r="L586" s="16" t="n">
        <x:f>IF(J586="Completed",K586*0.80,0)</x:f>
        <x:v>20000</x:v>
      </x:c>
      <x:c r="M586" t="n">
        <x:v>4.9</x:v>
      </x:c>
      <x:c r="N586" t="str">
        <x:v>Yes</x:v>
      </x:c>
      <x:c r="O586" t="str">
        <x:v>Revenue / Enterprise Team</x:v>
      </x:c>
    </x:row>
    <x:row r="587">
      <x:c r="A587" t="str">
        <x:v>CRB5585</x:v>
      </x:c>
      <x:c r="B587" t="str">
        <x:v>2026-07-12</x:v>
      </x:c>
      <x:c r="C587" t="str">
        <x:v>Priya Sharma</x:v>
      </x:c>
      <x:c r="D587" t="str">
        <x:v>u3766</x:v>
      </x:c>
      <x:c r="E587" t="str">
        <x:v>Instagram</x:v>
      </x:c>
      <x:c r="F587" t="str">
        <x:v>Bangalore</x:v>
      </x:c>
      <x:c r="G587" t="str">
        <x:v>Block Printing</x:v>
      </x:c>
      <x:c r="H587" t="n">
        <x:v>2</x:v>
      </x:c>
      <x:c r="I587" t="n">
        <x:v>2200</x:v>
      </x:c>
      <x:c r="J587" t="str">
        <x:v>Completed</x:v>
      </x:c>
      <x:c r="K587" t="n">
        <x:f>H587*I587</x:f>
        <x:v>4400</x:v>
      </x:c>
      <x:c r="L587" s="16" t="n">
        <x:f>IF(J587="Completed",K587*0.80,0)</x:f>
        <x:v>3520</x:v>
      </x:c>
      <x:c r="M587" t="n">
        <x:v>3.9</x:v>
      </x:c>
      <x:c r="N587" t="str">
        <x:v>No</x:v>
      </x:c>
      <x:c r="O587" t="str">
        <x:v>Customer Success</x:v>
      </x:c>
    </x:row>
    <x:row r="588">
      <x:c r="A588" t="str">
        <x:v>CRB5586</x:v>
      </x:c>
      <x:c r="B588" t="str">
        <x:v>2026-07-12</x:v>
      </x:c>
      <x:c r="C588" t="str">
        <x:v>Rahul Mehta</x:v>
      </x:c>
      <x:c r="D588" t="str">
        <x:v>u3769</x:v>
      </x:c>
      <x:c r="E588" t="str">
        <x:v>Google Search</x:v>
      </x:c>
      <x:c r="F588" t="str">
        <x:v>Varanasi</x:v>
      </x:c>
      <x:c r="G588" t="str">
        <x:v>Weaving</x:v>
      </x:c>
      <x:c r="H588" t="n">
        <x:v>1</x:v>
      </x:c>
      <x:c r="I588" t="n">
        <x:v>1500</x:v>
      </x:c>
      <x:c r="J588" t="str">
        <x:v>Completed</x:v>
      </x:c>
      <x:c r="K588" t="n">
        <x:f>H588*I588</x:f>
        <x:v>1500</x:v>
      </x:c>
      <x:c r="L588" s="16" t="n">
        <x:f>IF(J588="Completed",K588*0.80,0)</x:f>
        <x:v>1200</x:v>
      </x:c>
      <x:c r="M588" t="n">
        <x:v>4.9</x:v>
      </x:c>
      <x:c r="N588" t="str">
        <x:v>No</x:v>
      </x:c>
      <x:c r="O588" t="str">
        <x:v>Traveler Success</x:v>
      </x:c>
    </x:row>
    <x:row r="589">
      <x:c r="A589" t="str">
        <x:v>CRB5587</x:v>
      </x:c>
      <x:c r="B589" t="str">
        <x:v>2026-07-12</x:v>
      </x:c>
      <x:c r="C589" t="str">
        <x:v>Rahul Mehta</x:v>
      </x:c>
      <x:c r="D589" t="str">
        <x:v>u3771</x:v>
      </x:c>
      <x:c r="E589" t="str">
        <x:v>Instagram</x:v>
      </x:c>
      <x:c r="F589" t="str">
        <x:v>Jaipur</x:v>
      </x:c>
      <x:c r="G589" t="str">
        <x:v>Weaving</x:v>
      </x:c>
      <x:c r="H589" t="n">
        <x:v>2</x:v>
      </x:c>
      <x:c r="I589" t="n">
        <x:v>2000</x:v>
      </x:c>
      <x:c r="J589" t="str">
        <x:v>No-show</x:v>
      </x:c>
      <x:c r="K589" t="n">
        <x:f>H589*I589</x:f>
        <x:v>4000</x:v>
      </x:c>
      <x:c r="L589" s="16" t="n">
        <x:f>IF(J589="Completed",K589*0.80,0)</x:f>
        <x:v>0</x:v>
      </x:c>
      <x:c r="M589" t="str"/>
      <x:c r="N589" t="str">
        <x:v>No</x:v>
      </x:c>
      <x:c r="O589" t="str">
        <x:v>Customer Success</x:v>
      </x:c>
    </x:row>
    <x:row r="590">
      <x:c r="A590" t="str">
        <x:v>CRB5588</x:v>
      </x:c>
      <x:c r="B590" t="str">
        <x:v>2026-07-12</x:v>
      </x:c>
      <x:c r="C590" t="str">
        <x:v>Ananya Reddy</x:v>
      </x:c>
      <x:c r="D590" t="str">
        <x:v>u3791</x:v>
      </x:c>
      <x:c r="E590" t="str">
        <x:v>Travel Blog</x:v>
      </x:c>
      <x:c r="F590" t="str">
        <x:v>Khurja</x:v>
      </x:c>
      <x:c r="G590" t="str">
        <x:v>Weaving</x:v>
      </x:c>
      <x:c r="H590" t="n">
        <x:v>1</x:v>
      </x:c>
      <x:c r="I590" t="n">
        <x:v>1500</x:v>
      </x:c>
      <x:c r="J590" t="str">
        <x:v>Completed</x:v>
      </x:c>
      <x:c r="K590" t="n">
        <x:f>H590*I590</x:f>
        <x:v>1500</x:v>
      </x:c>
      <x:c r="L590" s="16" t="n">
        <x:f>IF(J590="Completed",K590*0.80,0)</x:f>
        <x:v>1200</x:v>
      </x:c>
      <x:c r="M590" t="n">
        <x:v>4.2</x:v>
      </x:c>
      <x:c r="N590" t="str">
        <x:v>No</x:v>
      </x:c>
      <x:c r="O590" t="str">
        <x:v>Traveler Success</x:v>
      </x:c>
    </x:row>
    <x:row r="591">
      <x:c r="A591" t="str">
        <x:v>CRB5589</x:v>
      </x:c>
      <x:c r="B591" t="str">
        <x:v>2026-07-12</x:v>
      </x:c>
      <x:c r="C591" t="str">
        <x:v>Ananya Reddy</x:v>
      </x:c>
      <x:c r="D591" t="str">
        <x:v>u3792</x:v>
      </x:c>
      <x:c r="E591" t="str">
        <x:v>Referral</x:v>
      </x:c>
      <x:c r="F591" t="str">
        <x:v>Jaipur</x:v>
      </x:c>
      <x:c r="G591" t="str">
        <x:v>Blue Pottery</x:v>
      </x:c>
      <x:c r="H591" t="n">
        <x:v>2</x:v>
      </x:c>
      <x:c r="I591" t="n">
        <x:v>3000</x:v>
      </x:c>
      <x:c r="J591" t="str">
        <x:v>Cancelled</x:v>
      </x:c>
      <x:c r="K591" t="n">
        <x:f>H591*I591</x:f>
        <x:v>6000</x:v>
      </x:c>
      <x:c r="L591" s="16" t="n">
        <x:f>IF(J591="Completed",K591*0.80,0)</x:f>
        <x:v>0</x:v>
      </x:c>
      <x:c r="M591" t="str"/>
      <x:c r="N591" t="str">
        <x:v>No</x:v>
      </x:c>
      <x:c r="O591" t="str">
        <x:v>Traveler Success</x:v>
      </x:c>
    </x:row>
    <x:row r="592">
      <x:c r="A592" t="str">
        <x:v>CRB5590</x:v>
      </x:c>
      <x:c r="B592" t="str">
        <x:v>2026-07-12</x:v>
      </x:c>
      <x:c r="C592" t="str">
        <x:v>Rahul Mehta</x:v>
      </x:c>
      <x:c r="D592" t="str">
        <x:v>u3796</x:v>
      </x:c>
      <x:c r="E592" t="str">
        <x:v>Direct</x:v>
      </x:c>
      <x:c r="F592" t="str">
        <x:v>Bangalore</x:v>
      </x:c>
      <x:c r="G592" t="str">
        <x:v>Blue Pottery</x:v>
      </x:c>
      <x:c r="H592" t="n">
        <x:v>2</x:v>
      </x:c>
      <x:c r="I592" t="n">
        <x:v>1500</x:v>
      </x:c>
      <x:c r="J592" t="str">
        <x:v>Completed</x:v>
      </x:c>
      <x:c r="K592" t="n">
        <x:f>H592*I592</x:f>
        <x:v>3000</x:v>
      </x:c>
      <x:c r="L592" s="16" t="n">
        <x:f>IF(J592="Completed",K592*0.80,0)</x:f>
        <x:v>2400</x:v>
      </x:c>
      <x:c r="M592" t="n">
        <x:v>4.8</x:v>
      </x:c>
      <x:c r="N592" t="str">
        <x:v>Yes</x:v>
      </x:c>
      <x:c r="O592" t="str">
        <x:v>Customer Success</x:v>
      </x:c>
    </x:row>
    <x:row r="593">
      <x:c r="A593" t="str">
        <x:v>CRB5591</x:v>
      </x:c>
      <x:c r="B593" t="str">
        <x:v>2026-07-12</x:v>
      </x:c>
      <x:c r="C593" t="str">
        <x:v>Rahul Mehta</x:v>
      </x:c>
      <x:c r="D593" t="str">
        <x:v>u3801</x:v>
      </x:c>
      <x:c r="E593" t="str">
        <x:v>Travel Blog</x:v>
      </x:c>
      <x:c r="F593" t="str">
        <x:v>Khurja</x:v>
      </x:c>
      <x:c r="G593" t="str">
        <x:v>Block Printing</x:v>
      </x:c>
      <x:c r="H593" t="n">
        <x:v>2</x:v>
      </x:c>
      <x:c r="I593" t="n">
        <x:v>1500</x:v>
      </x:c>
      <x:c r="J593" t="str">
        <x:v>Completed</x:v>
      </x:c>
      <x:c r="K593" t="n">
        <x:f>H593*I593</x:f>
        <x:v>3000</x:v>
      </x:c>
      <x:c r="L593" s="16" t="n">
        <x:f>IF(J593="Completed",K593*0.80,0)</x:f>
        <x:v>2400</x:v>
      </x:c>
      <x:c r="M593" t="n">
        <x:v>4.9</x:v>
      </x:c>
      <x:c r="N593" t="str">
        <x:v>No</x:v>
      </x:c>
      <x:c r="O593" t="str">
        <x:v>Traveler Success</x:v>
      </x:c>
    </x:row>
    <x:row r="594">
      <x:c r="A594" t="str">
        <x:v>CRB5592</x:v>
      </x:c>
      <x:c r="B594" t="str">
        <x:v>2026-07-12</x:v>
      </x:c>
      <x:c r="C594" t="str">
        <x:v>Mark Thompson</x:v>
      </x:c>
      <x:c r="D594" t="str">
        <x:v>u3804</x:v>
      </x:c>
      <x:c r="E594" t="str">
        <x:v>Google Search</x:v>
      </x:c>
      <x:c r="F594" t="str">
        <x:v>Jaipur</x:v>
      </x:c>
      <x:c r="G594" t="str">
        <x:v>Warli Painting</x:v>
      </x:c>
      <x:c r="H594" t="n">
        <x:v>2</x:v>
      </x:c>
      <x:c r="I594" t="n">
        <x:v>2500</x:v>
      </x:c>
      <x:c r="J594" t="str">
        <x:v>Completed</x:v>
      </x:c>
      <x:c r="K594" t="n">
        <x:f>H594*I594</x:f>
        <x:v>5000</x:v>
      </x:c>
      <x:c r="L594" s="16" t="n">
        <x:f>IF(J594="Completed",K594*0.80,0)</x:f>
        <x:v>4000</x:v>
      </x:c>
      <x:c r="M594" t="n">
        <x:v>3.8</x:v>
      </x:c>
      <x:c r="N594" t="str">
        <x:v>Yes</x:v>
      </x:c>
      <x:c r="O594" t="str">
        <x:v>Customer Success</x:v>
      </x:c>
    </x:row>
    <x:row r="595">
      <x:c r="A595" t="str">
        <x:v>CRB5593</x:v>
      </x:c>
      <x:c r="B595" t="str">
        <x:v>2026-07-12</x:v>
      </x:c>
      <x:c r="C595" t="str">
        <x:v>Ananya Reddy</x:v>
      </x:c>
      <x:c r="D595" t="str">
        <x:v>u3811</x:v>
      </x:c>
      <x:c r="E595" t="str">
        <x:v>Google Search</x:v>
      </x:c>
      <x:c r="F595" t="str">
        <x:v>Bangalore</x:v>
      </x:c>
      <x:c r="G595" t="str">
        <x:v>Warli Painting</x:v>
      </x:c>
      <x:c r="H595" t="n">
        <x:v>6</x:v>
      </x:c>
      <x:c r="I595" t="n">
        <x:v>2000</x:v>
      </x:c>
      <x:c r="J595" t="str">
        <x:v>Completed</x:v>
      </x:c>
      <x:c r="K595" t="n">
        <x:f>H595*I595</x:f>
        <x:v>12000</x:v>
      </x:c>
      <x:c r="L595" s="16" t="n">
        <x:f>IF(J595="Completed",K595*0.80,0)</x:f>
        <x:v>9600</x:v>
      </x:c>
      <x:c r="M595" t="n">
        <x:v>5</x:v>
      </x:c>
      <x:c r="N595" t="str">
        <x:v>No</x:v>
      </x:c>
      <x:c r="O595" t="str">
        <x:v>Revenue / Enterprise Team</x:v>
      </x:c>
    </x:row>
    <x:row r="596">
      <x:c r="A596" t="str">
        <x:v>CRB5594</x:v>
      </x:c>
      <x:c r="B596" t="str">
        <x:v>2026-07-12</x:v>
      </x:c>
      <x:c r="C596" t="str">
        <x:v>Rahul Mehta</x:v>
      </x:c>
      <x:c r="D596" t="str">
        <x:v>u3814</x:v>
      </x:c>
      <x:c r="E596" t="str">
        <x:v>Google Search</x:v>
      </x:c>
      <x:c r="F596" t="str">
        <x:v>Khurja</x:v>
      </x:c>
      <x:c r="G596" t="str">
        <x:v>Pottery</x:v>
      </x:c>
      <x:c r="H596" t="n">
        <x:v>4</x:v>
      </x:c>
      <x:c r="I596" t="n">
        <x:v>3000</x:v>
      </x:c>
      <x:c r="J596" t="str">
        <x:v>Completed</x:v>
      </x:c>
      <x:c r="K596" t="n">
        <x:f>H596*I596</x:f>
        <x:v>12000</x:v>
      </x:c>
      <x:c r="L596" s="16" t="n">
        <x:f>IF(J596="Completed",K596*0.80,0)</x:f>
        <x:v>9600</x:v>
      </x:c>
      <x:c r="M596" t="n">
        <x:v>4.7</x:v>
      </x:c>
      <x:c r="N596" t="str">
        <x:v>Yes</x:v>
      </x:c>
      <x:c r="O596" t="str">
        <x:v>Traveler Success</x:v>
      </x:c>
    </x:row>
    <x:row r="597">
      <x:c r="A597" t="str">
        <x:v>CRB5595</x:v>
      </x:c>
      <x:c r="B597" t="str">
        <x:v>2026-07-12</x:v>
      </x:c>
      <x:c r="C597" t="str">
        <x:v>Ananya Reddy</x:v>
      </x:c>
      <x:c r="D597" t="str">
        <x:v>u3815</x:v>
      </x:c>
      <x:c r="E597" t="str">
        <x:v>Travel Blog</x:v>
      </x:c>
      <x:c r="F597" t="str">
        <x:v>Varanasi</x:v>
      </x:c>
      <x:c r="G597" t="str">
        <x:v>Warli Painting</x:v>
      </x:c>
      <x:c r="H597" t="n">
        <x:v>2</x:v>
      </x:c>
      <x:c r="I597" t="n">
        <x:v>3000</x:v>
      </x:c>
      <x:c r="J597" t="str">
        <x:v>Completed</x:v>
      </x:c>
      <x:c r="K597" t="n">
        <x:f>H597*I597</x:f>
        <x:v>6000</x:v>
      </x:c>
      <x:c r="L597" s="16" t="n">
        <x:f>IF(J597="Completed",K597*0.80,0)</x:f>
        <x:v>4800</x:v>
      </x:c>
      <x:c r="M597" t="n">
        <x:v>3.8</x:v>
      </x:c>
      <x:c r="N597" t="str">
        <x:v>Yes</x:v>
      </x:c>
      <x:c r="O597" t="str">
        <x:v>Customer Success</x:v>
      </x:c>
    </x:row>
    <x:row r="598">
      <x:c r="A598" t="str">
        <x:v>CRB5596</x:v>
      </x:c>
      <x:c r="B598" t="str">
        <x:v>2026-07-12</x:v>
      </x:c>
      <x:c r="C598" t="str">
        <x:v>Priya Sharma</x:v>
      </x:c>
      <x:c r="D598" t="str">
        <x:v>u3822</x:v>
      </x:c>
      <x:c r="E598" t="str">
        <x:v>Direct</x:v>
      </x:c>
      <x:c r="F598" t="str">
        <x:v>Bangalore</x:v>
      </x:c>
      <x:c r="G598" t="str">
        <x:v>Pottery</x:v>
      </x:c>
      <x:c r="H598" t="n">
        <x:v>2</x:v>
      </x:c>
      <x:c r="I598" t="n">
        <x:v>2500</x:v>
      </x:c>
      <x:c r="J598" t="str">
        <x:v>Completed</x:v>
      </x:c>
      <x:c r="K598" t="n">
        <x:f>H598*I598</x:f>
        <x:v>5000</x:v>
      </x:c>
      <x:c r="L598" s="16" t="n">
        <x:f>IF(J598="Completed",K598*0.80,0)</x:f>
        <x:v>4000</x:v>
      </x:c>
      <x:c r="M598" t="n">
        <x:v>4.8</x:v>
      </x:c>
      <x:c r="N598" t="str">
        <x:v>No</x:v>
      </x:c>
      <x:c r="O598" t="str">
        <x:v>Customer Success</x:v>
      </x:c>
    </x:row>
    <x:row r="599">
      <x:c r="A599" t="str">
        <x:v>CRB5597</x:v>
      </x:c>
      <x:c r="B599" t="str">
        <x:v>2026-07-12</x:v>
      </x:c>
      <x:c r="C599" t="str">
        <x:v>Priya Sharma</x:v>
      </x:c>
      <x:c r="D599" t="str">
        <x:v>u3824</x:v>
      </x:c>
      <x:c r="E599" t="str">
        <x:v>Direct</x:v>
      </x:c>
      <x:c r="F599" t="str">
        <x:v>Khurja</x:v>
      </x:c>
      <x:c r="G599" t="str">
        <x:v>Block Printing</x:v>
      </x:c>
      <x:c r="H599" t="n">
        <x:v>4</x:v>
      </x:c>
      <x:c r="I599" t="n">
        <x:v>1500</x:v>
      </x:c>
      <x:c r="J599" t="str">
        <x:v>Completed</x:v>
      </x:c>
      <x:c r="K599" t="n">
        <x:f>H599*I599</x:f>
        <x:v>6000</x:v>
      </x:c>
      <x:c r="L599" s="16" t="n">
        <x:f>IF(J599="Completed",K599*0.80,0)</x:f>
        <x:v>4800</x:v>
      </x:c>
      <x:c r="M599" t="n">
        <x:v>4</x:v>
      </x:c>
      <x:c r="N599" t="str">
        <x:v>No</x:v>
      </x:c>
      <x:c r="O599" t="str">
        <x:v>Traveler Success</x:v>
      </x:c>
    </x:row>
    <x:row r="600">
      <x:c r="A600" t="str">
        <x:v>CRB5598</x:v>
      </x:c>
      <x:c r="B600" t="str">
        <x:v>2026-07-12</x:v>
      </x:c>
      <x:c r="C600" t="str">
        <x:v>Mark Thompson</x:v>
      </x:c>
      <x:c r="D600" t="str">
        <x:v>u3834</x:v>
      </x:c>
      <x:c r="E600" t="str">
        <x:v>Travel Blog</x:v>
      </x:c>
      <x:c r="F600" t="str">
        <x:v>Khurja</x:v>
      </x:c>
      <x:c r="G600" t="str">
        <x:v>Blue Pottery</x:v>
      </x:c>
      <x:c r="H600" t="n">
        <x:v>2</x:v>
      </x:c>
      <x:c r="I600" t="n">
        <x:v>2000</x:v>
      </x:c>
      <x:c r="J600" t="str">
        <x:v>Completed</x:v>
      </x:c>
      <x:c r="K600" t="n">
        <x:f>H600*I600</x:f>
        <x:v>4000</x:v>
      </x:c>
      <x:c r="L600" s="16" t="n">
        <x:f>IF(J600="Completed",K600*0.80,0)</x:f>
        <x:v>3200</x:v>
      </x:c>
      <x:c r="M600" t="n">
        <x:v>4</x:v>
      </x:c>
      <x:c r="N600" t="str">
        <x:v>No</x:v>
      </x:c>
      <x:c r="O600" t="str">
        <x:v>Customer Success</x:v>
      </x:c>
    </x:row>
    <x:row r="601">
      <x:c r="A601" t="str">
        <x:v>CRB5599</x:v>
      </x:c>
      <x:c r="B601" t="str">
        <x:v>2026-07-12</x:v>
      </x:c>
      <x:c r="C601" t="str">
        <x:v>Sofia Martinez</x:v>
      </x:c>
      <x:c r="D601" t="str">
        <x:v>u3837</x:v>
      </x:c>
      <x:c r="E601" t="str">
        <x:v>Direct</x:v>
      </x:c>
      <x:c r="F601" t="str">
        <x:v>Jaipur</x:v>
      </x:c>
      <x:c r="G601" t="str">
        <x:v>Warli Painting</x:v>
      </x:c>
      <x:c r="H601" t="n">
        <x:v>4</x:v>
      </x:c>
      <x:c r="I601" t="n">
        <x:v>3500</x:v>
      </x:c>
      <x:c r="J601" t="str">
        <x:v>Completed</x:v>
      </x:c>
      <x:c r="K601" t="n">
        <x:f>H601*I601</x:f>
        <x:v>14000</x:v>
      </x:c>
      <x:c r="L601" s="16" t="n">
        <x:f>IF(J601="Completed",K601*0.80,0)</x:f>
        <x:v>11200</x:v>
      </x:c>
      <x:c r="M601" t="n">
        <x:v>4.5</x:v>
      </x:c>
      <x:c r="N601" t="str">
        <x:v>No</x:v>
      </x:c>
      <x:c r="O601" t="str">
        <x:v>Traveler Success</x:v>
      </x:c>
    </x:row>
    <x:row r="602">
      <x:c r="A602" t="str">
        <x:v>CRB5600</x:v>
      </x:c>
      <x:c r="B602" t="str">
        <x:v>2026-07-12</x:v>
      </x:c>
      <x:c r="C602" t="str">
        <x:v>Mark Thompson</x:v>
      </x:c>
      <x:c r="D602" t="str">
        <x:v>u3840</x:v>
      </x:c>
      <x:c r="E602" t="str">
        <x:v>Referral</x:v>
      </x:c>
      <x:c r="F602" t="str">
        <x:v>Bangalore</x:v>
      </x:c>
      <x:c r="G602" t="str">
        <x:v>Pottery</x:v>
      </x:c>
      <x:c r="H602" t="n">
        <x:v>1</x:v>
      </x:c>
      <x:c r="I602" t="n">
        <x:v>3500</x:v>
      </x:c>
      <x:c r="J602" t="str">
        <x:v>Completed</x:v>
      </x:c>
      <x:c r="K602" t="n">
        <x:f>H602*I602</x:f>
        <x:v>3500</x:v>
      </x:c>
      <x:c r="L602" s="16" t="n">
        <x:f>IF(J602="Completed",K602*0.80,0)</x:f>
        <x:v>2800</x:v>
      </x:c>
      <x:c r="M602" t="n">
        <x:v>4.6</x:v>
      </x:c>
      <x:c r="N602" t="str">
        <x:v>No</x:v>
      </x:c>
      <x:c r="O602" t="str">
        <x:v>Customer Success</x:v>
      </x:c>
    </x:row>
    <x:row r="603">
      <x:c r="A603" t="str">
        <x:v>CRB5601</x:v>
      </x:c>
      <x:c r="B603" t="str">
        <x:v>2026-07-12</x:v>
      </x:c>
      <x:c r="C603" t="str">
        <x:v>Rahul Mehta</x:v>
      </x:c>
      <x:c r="D603" t="str">
        <x:v>u3846</x:v>
      </x:c>
      <x:c r="E603" t="str">
        <x:v>Direct</x:v>
      </x:c>
      <x:c r="F603" t="str">
        <x:v>Bangalore</x:v>
      </x:c>
      <x:c r="G603" t="str">
        <x:v>Blue Pottery</x:v>
      </x:c>
      <x:c r="H603" t="n">
        <x:v>4</x:v>
      </x:c>
      <x:c r="I603" t="n">
        <x:v>1800</x:v>
      </x:c>
      <x:c r="J603" t="str">
        <x:v>Completed</x:v>
      </x:c>
      <x:c r="K603" t="n">
        <x:f>H603*I603</x:f>
        <x:v>7200</x:v>
      </x:c>
      <x:c r="L603" s="16" t="n">
        <x:f>IF(J603="Completed",K603*0.80,0)</x:f>
        <x:v>5760</x:v>
      </x:c>
      <x:c r="M603" t="n">
        <x:v>4.2</x:v>
      </x:c>
      <x:c r="N603" t="str">
        <x:v>Yes</x:v>
      </x:c>
      <x:c r="O603" t="str">
        <x:v>Revenue / Enterprise Team</x:v>
      </x:c>
    </x:row>
    <x:row r="604">
      <x:c r="A604" t="str">
        <x:v>CRB5602</x:v>
      </x:c>
      <x:c r="B604" t="str">
        <x:v>2026-07-12</x:v>
      </x:c>
      <x:c r="C604" t="str">
        <x:v>Priya Sharma</x:v>
      </x:c>
      <x:c r="D604" t="str">
        <x:v>u3855</x:v>
      </x:c>
      <x:c r="E604" t="str">
        <x:v>Referral</x:v>
      </x:c>
      <x:c r="F604" t="str">
        <x:v>Varanasi</x:v>
      </x:c>
      <x:c r="G604" t="str">
        <x:v>Pottery</x:v>
      </x:c>
      <x:c r="H604" t="n">
        <x:v>3</x:v>
      </x:c>
      <x:c r="I604" t="n">
        <x:v>3000</x:v>
      </x:c>
      <x:c r="J604" t="str">
        <x:v>Completed</x:v>
      </x:c>
      <x:c r="K604" t="n">
        <x:f>H604*I604</x:f>
        <x:v>9000</x:v>
      </x:c>
      <x:c r="L604" s="16" t="n">
        <x:f>IF(J604="Completed",K604*0.80,0)</x:f>
        <x:v>7200</x:v>
      </x:c>
      <x:c r="M604" t="n">
        <x:v>5</x:v>
      </x:c>
      <x:c r="N604" t="str">
        <x:v>Yes</x:v>
      </x:c>
      <x:c r="O604" t="str">
        <x:v>Revenue / Enterprise Team</x:v>
      </x:c>
    </x:row>
    <x:row r="605">
      <x:c r="A605" t="str">
        <x:v>CRB5603</x:v>
      </x:c>
      <x:c r="B605" t="str">
        <x:v>2026-07-12</x:v>
      </x:c>
      <x:c r="C605" t="str">
        <x:v>Priya Sharma</x:v>
      </x:c>
      <x:c r="D605" t="str">
        <x:v>u3863</x:v>
      </x:c>
      <x:c r="E605" t="str">
        <x:v>Google Search</x:v>
      </x:c>
      <x:c r="F605" t="str">
        <x:v>Khurja</x:v>
      </x:c>
      <x:c r="G605" t="str">
        <x:v>Blue Pottery</x:v>
      </x:c>
      <x:c r="H605" t="n">
        <x:v>6</x:v>
      </x:c>
      <x:c r="I605" t="n">
        <x:v>2200</x:v>
      </x:c>
      <x:c r="J605" t="str">
        <x:v>Completed</x:v>
      </x:c>
      <x:c r="K605" t="n">
        <x:f>H605*I605</x:f>
        <x:v>13200</x:v>
      </x:c>
      <x:c r="L605" s="16" t="n">
        <x:f>IF(J605="Completed",K605*0.80,0)</x:f>
        <x:v>10560</x:v>
      </x:c>
      <x:c r="M605" t="n">
        <x:v>3.9</x:v>
      </x:c>
      <x:c r="N605" t="str">
        <x:v>Yes</x:v>
      </x:c>
      <x:c r="O605" t="str">
        <x:v>Revenue / Enterprise Team</x:v>
      </x:c>
    </x:row>
    <x:row r="606">
      <x:c r="A606" t="str">
        <x:v>CRB5604</x:v>
      </x:c>
      <x:c r="B606" t="str">
        <x:v>2026-07-12</x:v>
      </x:c>
      <x:c r="C606" t="str">
        <x:v>Mark Thompson</x:v>
      </x:c>
      <x:c r="D606" t="str">
        <x:v>u3865</x:v>
      </x:c>
      <x:c r="E606" t="str">
        <x:v>Referral</x:v>
      </x:c>
      <x:c r="F606" t="str">
        <x:v>Varanasi</x:v>
      </x:c>
      <x:c r="G606" t="str">
        <x:v>Warli Painting</x:v>
      </x:c>
      <x:c r="H606" t="n">
        <x:v>2</x:v>
      </x:c>
      <x:c r="I606" t="n">
        <x:v>2200</x:v>
      </x:c>
      <x:c r="J606" t="str">
        <x:v>Completed</x:v>
      </x:c>
      <x:c r="K606" t="n">
        <x:f>H606*I606</x:f>
        <x:v>4400</x:v>
      </x:c>
      <x:c r="L606" s="16" t="n">
        <x:f>IF(J606="Completed",K606*0.80,0)</x:f>
        <x:v>3520</x:v>
      </x:c>
      <x:c r="M606" t="n">
        <x:v>4</x:v>
      </x:c>
      <x:c r="N606" t="str">
        <x:v>No</x:v>
      </x:c>
      <x:c r="O606" t="str">
        <x:v>Customer Success</x:v>
      </x:c>
    </x:row>
    <x:row r="607">
      <x:c r="A607" t="str">
        <x:v>CRB5605</x:v>
      </x:c>
      <x:c r="B607" t="str">
        <x:v>2026-07-12</x:v>
      </x:c>
      <x:c r="C607" t="str">
        <x:v>Priya Sharma</x:v>
      </x:c>
      <x:c r="D607" t="str">
        <x:v>u3867</x:v>
      </x:c>
      <x:c r="E607" t="str">
        <x:v>Google Search</x:v>
      </x:c>
      <x:c r="F607" t="str">
        <x:v>Bangalore</x:v>
      </x:c>
      <x:c r="G607" t="str">
        <x:v>Block Printing</x:v>
      </x:c>
      <x:c r="H607" t="n">
        <x:v>2</x:v>
      </x:c>
      <x:c r="I607" t="n">
        <x:v>2200</x:v>
      </x:c>
      <x:c r="J607" t="str">
        <x:v>No-show</x:v>
      </x:c>
      <x:c r="K607" t="n">
        <x:f>H607*I607</x:f>
        <x:v>4400</x:v>
      </x:c>
      <x:c r="L607" s="16" t="n">
        <x:f>IF(J607="Completed",K607*0.80,0)</x:f>
        <x:v>0</x:v>
      </x:c>
      <x:c r="M607" t="str"/>
      <x:c r="N607" t="str">
        <x:v>No</x:v>
      </x:c>
      <x:c r="O607" t="str">
        <x:v>Traveler Success</x:v>
      </x:c>
    </x:row>
    <x:row r="608">
      <x:c r="A608" t="str">
        <x:v>CRB5606</x:v>
      </x:c>
      <x:c r="B608" t="str">
        <x:v>2026-07-12</x:v>
      </x:c>
      <x:c r="C608" t="str">
        <x:v>Rahul Mehta</x:v>
      </x:c>
      <x:c r="D608" t="str">
        <x:v>u3869</x:v>
      </x:c>
      <x:c r="E608" t="str">
        <x:v>Direct</x:v>
      </x:c>
      <x:c r="F608" t="str">
        <x:v>Udaipur</x:v>
      </x:c>
      <x:c r="G608" t="str">
        <x:v>Pottery</x:v>
      </x:c>
      <x:c r="H608" t="n">
        <x:v>12</x:v>
      </x:c>
      <x:c r="I608" t="n">
        <x:v>3500</x:v>
      </x:c>
      <x:c r="J608" t="str">
        <x:v>Completed</x:v>
      </x:c>
      <x:c r="K608" t="n">
        <x:f>H608*I608</x:f>
        <x:v>42000</x:v>
      </x:c>
      <x:c r="L608" s="16" t="n">
        <x:f>IF(J608="Completed",K608*0.80,0)</x:f>
        <x:v>33600</x:v>
      </x:c>
      <x:c r="M608" t="n">
        <x:v>4.2</x:v>
      </x:c>
      <x:c r="N608" t="str">
        <x:v>No</x:v>
      </x:c>
      <x:c r="O608" t="str">
        <x:v>Revenue / Enterprise Team</x:v>
      </x:c>
    </x:row>
    <x:row r="609">
      <x:c r="A609" t="str">
        <x:v>CRB5607</x:v>
      </x:c>
      <x:c r="B609" t="str">
        <x:v>2026-07-12</x:v>
      </x:c>
      <x:c r="C609" t="str">
        <x:v>Rahul Mehta</x:v>
      </x:c>
      <x:c r="D609" t="str">
        <x:v>u3875</x:v>
      </x:c>
      <x:c r="E609" t="str">
        <x:v>Instagram</x:v>
      </x:c>
      <x:c r="F609" t="str">
        <x:v>Jaipur</x:v>
      </x:c>
      <x:c r="G609" t="str">
        <x:v>Warli Painting</x:v>
      </x:c>
      <x:c r="H609" t="n">
        <x:v>12</x:v>
      </x:c>
      <x:c r="I609" t="n">
        <x:v>3500</x:v>
      </x:c>
      <x:c r="J609" t="str">
        <x:v>No-show</x:v>
      </x:c>
      <x:c r="K609" t="n">
        <x:f>H609*I609</x:f>
        <x:v>42000</x:v>
      </x:c>
      <x:c r="L609" s="16" t="n">
        <x:f>IF(J609="Completed",K609*0.80,0)</x:f>
        <x:v>0</x:v>
      </x:c>
      <x:c r="M609" t="str"/>
      <x:c r="N609" t="str">
        <x:v>No</x:v>
      </x:c>
      <x:c r="O609" t="str">
        <x:v>Traveler Success</x:v>
      </x:c>
    </x:row>
    <x:row r="610">
      <x:c r="A610" t="str">
        <x:v>CRB5608</x:v>
      </x:c>
      <x:c r="B610" t="str">
        <x:v>2026-07-12</x:v>
      </x:c>
      <x:c r="C610" t="str">
        <x:v>Rahul Mehta</x:v>
      </x:c>
      <x:c r="D610" t="str">
        <x:v>u3876</x:v>
      </x:c>
      <x:c r="E610" t="str">
        <x:v>Travel Blog</x:v>
      </x:c>
      <x:c r="F610" t="str">
        <x:v>Jaipur</x:v>
      </x:c>
      <x:c r="G610" t="str">
        <x:v>Block Printing</x:v>
      </x:c>
      <x:c r="H610" t="n">
        <x:v>6</x:v>
      </x:c>
      <x:c r="I610" t="n">
        <x:v>3000</x:v>
      </x:c>
      <x:c r="J610" t="str">
        <x:v>Completed</x:v>
      </x:c>
      <x:c r="K610" t="n">
        <x:f>H610*I610</x:f>
        <x:v>18000</x:v>
      </x:c>
      <x:c r="L610" s="16" t="n">
        <x:f>IF(J610="Completed",K610*0.80,0)</x:f>
        <x:v>14400</x:v>
      </x:c>
      <x:c r="M610" t="n">
        <x:v>4.5</x:v>
      </x:c>
      <x:c r="N610" t="str">
        <x:v>No</x:v>
      </x:c>
      <x:c r="O610" t="str">
        <x:v>Revenue / Enterprise Team</x:v>
      </x:c>
    </x:row>
    <x:row r="611">
      <x:c r="A611" t="str">
        <x:v>CRB5609</x:v>
      </x:c>
      <x:c r="B611" t="str">
        <x:v>2026-07-12</x:v>
      </x:c>
      <x:c r="C611" t="str">
        <x:v>Priya Sharma</x:v>
      </x:c>
      <x:c r="D611" t="str">
        <x:v>u3893</x:v>
      </x:c>
      <x:c r="E611" t="str">
        <x:v>Referral</x:v>
      </x:c>
      <x:c r="F611" t="str">
        <x:v>Udaipur</x:v>
      </x:c>
      <x:c r="G611" t="str">
        <x:v>Block Printing</x:v>
      </x:c>
      <x:c r="H611" t="n">
        <x:v>6</x:v>
      </x:c>
      <x:c r="I611" t="n">
        <x:v>2000</x:v>
      </x:c>
      <x:c r="J611" t="str">
        <x:v>Completed</x:v>
      </x:c>
      <x:c r="K611" t="n">
        <x:f>H611*I611</x:f>
        <x:v>12000</x:v>
      </x:c>
      <x:c r="L611" s="16" t="n">
        <x:f>IF(J611="Completed",K611*0.80,0)</x:f>
        <x:v>9600</x:v>
      </x:c>
      <x:c r="M611" t="n">
        <x:v>4</x:v>
      </x:c>
      <x:c r="N611" t="str">
        <x:v>No</x:v>
      </x:c>
      <x:c r="O611" t="str">
        <x:v>Traveler Success</x:v>
      </x:c>
    </x:row>
    <x:row r="612">
      <x:c r="A612" t="str">
        <x:v>CRB5610</x:v>
      </x:c>
      <x:c r="B612" t="str">
        <x:v>2026-07-12</x:v>
      </x:c>
      <x:c r="C612" t="str">
        <x:v>Ananya Reddy</x:v>
      </x:c>
      <x:c r="D612" t="str">
        <x:v>u3896</x:v>
      </x:c>
      <x:c r="E612" t="str">
        <x:v>Instagram</x:v>
      </x:c>
      <x:c r="F612" t="str">
        <x:v>Bangalore</x:v>
      </x:c>
      <x:c r="G612" t="str">
        <x:v>Blue Pottery</x:v>
      </x:c>
      <x:c r="H612" t="n">
        <x:v>12</x:v>
      </x:c>
      <x:c r="I612" t="n">
        <x:v>2000</x:v>
      </x:c>
      <x:c r="J612" t="str">
        <x:v>Completed</x:v>
      </x:c>
      <x:c r="K612" t="n">
        <x:f>H612*I612</x:f>
        <x:v>24000</x:v>
      </x:c>
      <x:c r="L612" s="16" t="n">
        <x:f>IF(J612="Completed",K612*0.80,0)</x:f>
        <x:v>19200</x:v>
      </x:c>
      <x:c r="M612" t="n">
        <x:v>4.8</x:v>
      </x:c>
      <x:c r="N612" t="str">
        <x:v>Yes</x:v>
      </x:c>
      <x:c r="O612" t="str">
        <x:v>Customer Success</x:v>
      </x:c>
    </x:row>
    <x:row r="613">
      <x:c r="A613" t="str">
        <x:v>CRB5611</x:v>
      </x:c>
      <x:c r="B613" t="str">
        <x:v>2026-07-12</x:v>
      </x:c>
      <x:c r="C613" t="str">
        <x:v>Rahul Mehta</x:v>
      </x:c>
      <x:c r="D613" t="str">
        <x:v>u3898</x:v>
      </x:c>
      <x:c r="E613" t="str">
        <x:v>Travel Blog</x:v>
      </x:c>
      <x:c r="F613" t="str">
        <x:v>Jaipur</x:v>
      </x:c>
      <x:c r="G613" t="str">
        <x:v>Pottery</x:v>
      </x:c>
      <x:c r="H613" t="n">
        <x:v>3</x:v>
      </x:c>
      <x:c r="I613" t="n">
        <x:v>2500</x:v>
      </x:c>
      <x:c r="J613" t="str">
        <x:v>Completed</x:v>
      </x:c>
      <x:c r="K613" t="n">
        <x:f>H613*I613</x:f>
        <x:v>7500</x:v>
      </x:c>
      <x:c r="L613" s="16" t="n">
        <x:f>IF(J613="Completed",K613*0.80,0)</x:f>
        <x:v>6000</x:v>
      </x:c>
      <x:c r="M613" t="n">
        <x:v>4.9</x:v>
      </x:c>
      <x:c r="N613" t="str">
        <x:v>No</x:v>
      </x:c>
      <x:c r="O613" t="str">
        <x:v>Customer Success</x:v>
      </x:c>
    </x:row>
    <x:row r="614">
      <x:c r="A614" t="str">
        <x:v>CRB5612</x:v>
      </x:c>
      <x:c r="B614" t="str">
        <x:v>2026-07-12</x:v>
      </x:c>
      <x:c r="C614" t="str">
        <x:v>Sofia Martinez</x:v>
      </x:c>
      <x:c r="D614" t="str">
        <x:v>u3908</x:v>
      </x:c>
      <x:c r="E614" t="str">
        <x:v>Direct</x:v>
      </x:c>
      <x:c r="F614" t="str">
        <x:v>Varanasi</x:v>
      </x:c>
      <x:c r="G614" t="str">
        <x:v>Pottery</x:v>
      </x:c>
      <x:c r="H614" t="n">
        <x:v>2</x:v>
      </x:c>
      <x:c r="I614" t="n">
        <x:v>2000</x:v>
      </x:c>
      <x:c r="J614" t="str">
        <x:v>Completed</x:v>
      </x:c>
      <x:c r="K614" t="n">
        <x:f>H614*I614</x:f>
        <x:v>4000</x:v>
      </x:c>
      <x:c r="L614" s="16" t="n">
        <x:f>IF(J614="Completed",K614*0.80,0)</x:f>
        <x:v>3200</x:v>
      </x:c>
      <x:c r="M614" t="n">
        <x:v>4.4</x:v>
      </x:c>
      <x:c r="N614" t="str">
        <x:v>No</x:v>
      </x:c>
      <x:c r="O614" t="str">
        <x:v>Customer Success</x:v>
      </x:c>
    </x:row>
    <x:row r="615">
      <x:c r="A615" t="str">
        <x:v>CRB5613</x:v>
      </x:c>
      <x:c r="B615" t="str">
        <x:v>2026-07-12</x:v>
      </x:c>
      <x:c r="C615" t="str">
        <x:v>Priya Sharma</x:v>
      </x:c>
      <x:c r="D615" t="str">
        <x:v>u3919</x:v>
      </x:c>
      <x:c r="E615" t="str">
        <x:v>Referral</x:v>
      </x:c>
      <x:c r="F615" t="str">
        <x:v>Khurja</x:v>
      </x:c>
      <x:c r="G615" t="str">
        <x:v>Warli Painting</x:v>
      </x:c>
      <x:c r="H615" t="n">
        <x:v>6</x:v>
      </x:c>
      <x:c r="I615" t="n">
        <x:v>2500</x:v>
      </x:c>
      <x:c r="J615" t="str">
        <x:v>Completed</x:v>
      </x:c>
      <x:c r="K615" t="n">
        <x:f>H615*I615</x:f>
        <x:v>15000</x:v>
      </x:c>
      <x:c r="L615" s="16" t="n">
        <x:f>IF(J615="Completed",K615*0.80,0)</x:f>
        <x:v>12000</x:v>
      </x:c>
      <x:c r="M615" t="n">
        <x:v>4.2</x:v>
      </x:c>
      <x:c r="N615" t="str">
        <x:v>No</x:v>
      </x:c>
      <x:c r="O615" t="str">
        <x:v>Revenue / Enterprise Team</x:v>
      </x:c>
    </x:row>
    <x:row r="616">
      <x:c r="A616" t="str">
        <x:v>CRB5614</x:v>
      </x:c>
      <x:c r="B616" t="str">
        <x:v>2026-07-13</x:v>
      </x:c>
      <x:c r="C616" t="str">
        <x:v>Ananya Reddy</x:v>
      </x:c>
      <x:c r="D616" t="str">
        <x:v>u3924</x:v>
      </x:c>
      <x:c r="E616" t="str">
        <x:v>Referral</x:v>
      </x:c>
      <x:c r="F616" t="str">
        <x:v>Varanasi</x:v>
      </x:c>
      <x:c r="G616" t="str">
        <x:v>Pottery</x:v>
      </x:c>
      <x:c r="H616" t="n">
        <x:v>4</x:v>
      </x:c>
      <x:c r="I616" t="n">
        <x:v>2500</x:v>
      </x:c>
      <x:c r="J616" t="str">
        <x:v>Completed</x:v>
      </x:c>
      <x:c r="K616" t="n">
        <x:f>H616*I616</x:f>
        <x:v>10000</x:v>
      </x:c>
      <x:c r="L616" s="16" t="n">
        <x:f>IF(J616="Completed",K616*0.80,0)</x:f>
        <x:v>8000</x:v>
      </x:c>
      <x:c r="M616" t="n">
        <x:v>4.5</x:v>
      </x:c>
      <x:c r="N616" t="str">
        <x:v>No</x:v>
      </x:c>
      <x:c r="O616" t="str">
        <x:v>Revenue / Enterprise Team</x:v>
      </x:c>
    </x:row>
    <x:row r="617">
      <x:c r="A617" t="str">
        <x:v>CRB5615</x:v>
      </x:c>
      <x:c r="B617" t="str">
        <x:v>2026-07-13</x:v>
      </x:c>
      <x:c r="C617" t="str">
        <x:v>Priya Sharma</x:v>
      </x:c>
      <x:c r="D617" t="str">
        <x:v>u3930</x:v>
      </x:c>
      <x:c r="E617" t="str">
        <x:v>Direct</x:v>
      </x:c>
      <x:c r="F617" t="str">
        <x:v>Varanasi</x:v>
      </x:c>
      <x:c r="G617" t="str">
        <x:v>Block Printing</x:v>
      </x:c>
      <x:c r="H617" t="n">
        <x:v>12</x:v>
      </x:c>
      <x:c r="I617" t="n">
        <x:v>1800</x:v>
      </x:c>
      <x:c r="J617" t="str">
        <x:v>Completed</x:v>
      </x:c>
      <x:c r="K617" t="n">
        <x:f>H617*I617</x:f>
        <x:v>21600</x:v>
      </x:c>
      <x:c r="L617" s="16" t="n">
        <x:f>IF(J617="Completed",K617*0.80,0)</x:f>
        <x:v>17280</x:v>
      </x:c>
      <x:c r="M617" t="n">
        <x:v>4.8</x:v>
      </x:c>
      <x:c r="N617" t="str">
        <x:v>No</x:v>
      </x:c>
      <x:c r="O617" t="str">
        <x:v>Customer Success</x:v>
      </x:c>
    </x:row>
    <x:row r="618">
      <x:c r="A618" t="str">
        <x:v>CRB5616</x:v>
      </x:c>
      <x:c r="B618" t="str">
        <x:v>2026-07-13</x:v>
      </x:c>
      <x:c r="C618" t="str">
        <x:v>Mark Thompson</x:v>
      </x:c>
      <x:c r="D618" t="str">
        <x:v>u3934</x:v>
      </x:c>
      <x:c r="E618" t="str">
        <x:v>Direct</x:v>
      </x:c>
      <x:c r="F618" t="str">
        <x:v>Udaipur</x:v>
      </x:c>
      <x:c r="G618" t="str">
        <x:v>Weaving</x:v>
      </x:c>
      <x:c r="H618" t="n">
        <x:v>3</x:v>
      </x:c>
      <x:c r="I618" t="n">
        <x:v>2500</x:v>
      </x:c>
      <x:c r="J618" t="str">
        <x:v>Completed</x:v>
      </x:c>
      <x:c r="K618" t="n">
        <x:f>H618*I618</x:f>
        <x:v>7500</x:v>
      </x:c>
      <x:c r="L618" s="16" t="n">
        <x:f>IF(J618="Completed",K618*0.80,0)</x:f>
        <x:v>6000</x:v>
      </x:c>
      <x:c r="M618" t="n">
        <x:v>4.9</x:v>
      </x:c>
      <x:c r="N618" t="str">
        <x:v>Yes</x:v>
      </x:c>
      <x:c r="O618" t="str">
        <x:v>Traveler Success</x:v>
      </x:c>
    </x:row>
    <x:row r="619">
      <x:c r="A619" t="str">
        <x:v>CRB5617</x:v>
      </x:c>
      <x:c r="B619" t="str">
        <x:v>2026-07-13</x:v>
      </x:c>
      <x:c r="C619" t="str">
        <x:v>Priya Sharma</x:v>
      </x:c>
      <x:c r="D619" t="str">
        <x:v>u3938</x:v>
      </x:c>
      <x:c r="E619" t="str">
        <x:v>Instagram</x:v>
      </x:c>
      <x:c r="F619" t="str">
        <x:v>Bangalore</x:v>
      </x:c>
      <x:c r="G619" t="str">
        <x:v>Warli Painting</x:v>
      </x:c>
      <x:c r="H619" t="n">
        <x:v>4</x:v>
      </x:c>
      <x:c r="I619" t="n">
        <x:v>1800</x:v>
      </x:c>
      <x:c r="J619" t="str">
        <x:v>Completed</x:v>
      </x:c>
      <x:c r="K619" t="n">
        <x:f>H619*I619</x:f>
        <x:v>7200</x:v>
      </x:c>
      <x:c r="L619" s="16" t="n">
        <x:f>IF(J619="Completed",K619*0.80,0)</x:f>
        <x:v>5760</x:v>
      </x:c>
      <x:c r="M619" t="n">
        <x:v>4.3</x:v>
      </x:c>
      <x:c r="N619" t="str">
        <x:v>Yes</x:v>
      </x:c>
      <x:c r="O619" t="str">
        <x:v>Traveler Success</x:v>
      </x:c>
    </x:row>
    <x:row r="620">
      <x:c r="A620" t="str">
        <x:v>CRB5618</x:v>
      </x:c>
      <x:c r="B620" t="str">
        <x:v>2026-07-13</x:v>
      </x:c>
      <x:c r="C620" t="str">
        <x:v>Sofia Martinez</x:v>
      </x:c>
      <x:c r="D620" t="str">
        <x:v>u3942</x:v>
      </x:c>
      <x:c r="E620" t="str">
        <x:v>Referral</x:v>
      </x:c>
      <x:c r="F620" t="str">
        <x:v>Udaipur</x:v>
      </x:c>
      <x:c r="G620" t="str">
        <x:v>Pottery</x:v>
      </x:c>
      <x:c r="H620" t="n">
        <x:v>12</x:v>
      </x:c>
      <x:c r="I620" t="n">
        <x:v>3000</x:v>
      </x:c>
      <x:c r="J620" t="str">
        <x:v>Completed</x:v>
      </x:c>
      <x:c r="K620" t="n">
        <x:f>H620*I620</x:f>
        <x:v>36000</x:v>
      </x:c>
      <x:c r="L620" s="16" t="n">
        <x:f>IF(J620="Completed",K620*0.80,0)</x:f>
        <x:v>28800</x:v>
      </x:c>
      <x:c r="M620" t="n">
        <x:v>4.6</x:v>
      </x:c>
      <x:c r="N620" t="str">
        <x:v>Yes</x:v>
      </x:c>
      <x:c r="O620" t="str">
        <x:v>Traveler Success</x:v>
      </x:c>
    </x:row>
    <x:row r="621">
      <x:c r="A621" t="str">
        <x:v>CRB5619</x:v>
      </x:c>
      <x:c r="B621" t="str">
        <x:v>2026-07-13</x:v>
      </x:c>
      <x:c r="C621" t="str">
        <x:v>Ananya Reddy</x:v>
      </x:c>
      <x:c r="D621" t="str">
        <x:v>u3950</x:v>
      </x:c>
      <x:c r="E621" t="str">
        <x:v>Google Search</x:v>
      </x:c>
      <x:c r="F621" t="str">
        <x:v>Bangalore</x:v>
      </x:c>
      <x:c r="G621" t="str">
        <x:v>Pottery</x:v>
      </x:c>
      <x:c r="H621" t="n">
        <x:v>2</x:v>
      </x:c>
      <x:c r="I621" t="n">
        <x:v>1800</x:v>
      </x:c>
      <x:c r="J621" t="str">
        <x:v>Completed</x:v>
      </x:c>
      <x:c r="K621" t="n">
        <x:f>H621*I621</x:f>
        <x:v>3600</x:v>
      </x:c>
      <x:c r="L621" s="16" t="n">
        <x:f>IF(J621="Completed",K621*0.80,0)</x:f>
        <x:v>2880</x:v>
      </x:c>
      <x:c r="M621" t="n">
        <x:v>3.8</x:v>
      </x:c>
      <x:c r="N621" t="str">
        <x:v>No</x:v>
      </x:c>
      <x:c r="O621" t="str">
        <x:v>Customer Success</x:v>
      </x:c>
    </x:row>
    <x:row r="622">
      <x:c r="A622" t="str">
        <x:v>CRB5620</x:v>
      </x:c>
      <x:c r="B622" t="str">
        <x:v>2026-07-13</x:v>
      </x:c>
      <x:c r="C622" t="str">
        <x:v>Rahul Mehta</x:v>
      </x:c>
      <x:c r="D622" t="str">
        <x:v>u3956</x:v>
      </x:c>
      <x:c r="E622" t="str">
        <x:v>Direct</x:v>
      </x:c>
      <x:c r="F622" t="str">
        <x:v>Varanasi</x:v>
      </x:c>
      <x:c r="G622" t="str">
        <x:v>Blue Pottery</x:v>
      </x:c>
      <x:c r="H622" t="n">
        <x:v>2</x:v>
      </x:c>
      <x:c r="I622" t="n">
        <x:v>1500</x:v>
      </x:c>
      <x:c r="J622" t="str">
        <x:v>Completed</x:v>
      </x:c>
      <x:c r="K622" t="n">
        <x:f>H622*I622</x:f>
        <x:v>3000</x:v>
      </x:c>
      <x:c r="L622" s="16" t="n">
        <x:f>IF(J622="Completed",K622*0.80,0)</x:f>
        <x:v>2400</x:v>
      </x:c>
      <x:c r="M622" t="n">
        <x:v>3.9</x:v>
      </x:c>
      <x:c r="N622" t="str">
        <x:v>Yes</x:v>
      </x:c>
      <x:c r="O622" t="str">
        <x:v>Traveler Success</x:v>
      </x:c>
    </x:row>
    <x:row r="623">
      <x:c r="A623" t="str">
        <x:v>CRB5621</x:v>
      </x:c>
      <x:c r="B623" t="str">
        <x:v>2026-07-13</x:v>
      </x:c>
      <x:c r="C623" t="str">
        <x:v>Mark Thompson</x:v>
      </x:c>
      <x:c r="D623" t="str">
        <x:v>u3957</x:v>
      </x:c>
      <x:c r="E623" t="str">
        <x:v>Travel Blog</x:v>
      </x:c>
      <x:c r="F623" t="str">
        <x:v>Khurja</x:v>
      </x:c>
      <x:c r="G623" t="str">
        <x:v>Pottery</x:v>
      </x:c>
      <x:c r="H623" t="n">
        <x:v>6</x:v>
      </x:c>
      <x:c r="I623" t="n">
        <x:v>1500</x:v>
      </x:c>
      <x:c r="J623" t="str">
        <x:v>Completed</x:v>
      </x:c>
      <x:c r="K623" t="n">
        <x:f>H623*I623</x:f>
        <x:v>9000</x:v>
      </x:c>
      <x:c r="L623" s="16" t="n">
        <x:f>IF(J623="Completed",K623*0.80,0)</x:f>
        <x:v>7200</x:v>
      </x:c>
      <x:c r="M623" t="n">
        <x:v>4.3</x:v>
      </x:c>
      <x:c r="N623" t="str">
        <x:v>No</x:v>
      </x:c>
      <x:c r="O623" t="str">
        <x:v>Revenue / Enterprise Team</x:v>
      </x:c>
    </x:row>
    <x:row r="624">
      <x:c r="A624" t="str">
        <x:v>CRB5622</x:v>
      </x:c>
      <x:c r="B624" t="str">
        <x:v>2026-07-13</x:v>
      </x:c>
      <x:c r="C624" t="str">
        <x:v>Rahul Mehta</x:v>
      </x:c>
      <x:c r="D624" t="str">
        <x:v>u3958</x:v>
      </x:c>
      <x:c r="E624" t="str">
        <x:v>Instagram</x:v>
      </x:c>
      <x:c r="F624" t="str">
        <x:v>Udaipur</x:v>
      </x:c>
      <x:c r="G624" t="str">
        <x:v>Blue Pottery</x:v>
      </x:c>
      <x:c r="H624" t="n">
        <x:v>2</x:v>
      </x:c>
      <x:c r="I624" t="n">
        <x:v>2000</x:v>
      </x:c>
      <x:c r="J624" t="str">
        <x:v>Completed</x:v>
      </x:c>
      <x:c r="K624" t="n">
        <x:f>H624*I624</x:f>
        <x:v>4000</x:v>
      </x:c>
      <x:c r="L624" s="16" t="n">
        <x:f>IF(J624="Completed",K624*0.80,0)</x:f>
        <x:v>3200</x:v>
      </x:c>
      <x:c r="M624" t="n">
        <x:v>4.4</x:v>
      </x:c>
      <x:c r="N624" t="str">
        <x:v>No</x:v>
      </x:c>
      <x:c r="O624" t="str">
        <x:v>Traveler Success</x:v>
      </x:c>
    </x:row>
    <x:row r="625">
      <x:c r="A625" t="str">
        <x:v>CRB5623</x:v>
      </x:c>
      <x:c r="B625" t="str">
        <x:v>2026-07-13</x:v>
      </x:c>
      <x:c r="C625" t="str">
        <x:v>Rahul Mehta</x:v>
      </x:c>
      <x:c r="D625" t="str">
        <x:v>u3963</x:v>
      </x:c>
      <x:c r="E625" t="str">
        <x:v>Google Search</x:v>
      </x:c>
      <x:c r="F625" t="str">
        <x:v>Udaipur</x:v>
      </x:c>
      <x:c r="G625" t="str">
        <x:v>Warli Painting</x:v>
      </x:c>
      <x:c r="H625" t="n">
        <x:v>2</x:v>
      </x:c>
      <x:c r="I625" t="n">
        <x:v>1500</x:v>
      </x:c>
      <x:c r="J625" t="str">
        <x:v>Completed</x:v>
      </x:c>
      <x:c r="K625" t="n">
        <x:f>H625*I625</x:f>
        <x:v>3000</x:v>
      </x:c>
      <x:c r="L625" s="16" t="n">
        <x:f>IF(J625="Completed",K625*0.80,0)</x:f>
        <x:v>2400</x:v>
      </x:c>
      <x:c r="M625" t="n">
        <x:v>4.4</x:v>
      </x:c>
      <x:c r="N625" t="str">
        <x:v>Yes</x:v>
      </x:c>
      <x:c r="O625" t="str">
        <x:v>Traveler Success</x:v>
      </x:c>
    </x:row>
    <x:row r="626">
      <x:c r="A626" t="str">
        <x:v>CRB5624</x:v>
      </x:c>
      <x:c r="B626" t="str">
        <x:v>2026-07-13</x:v>
      </x:c>
      <x:c r="C626" t="str">
        <x:v>Ananya Reddy</x:v>
      </x:c>
      <x:c r="D626" t="str">
        <x:v>u3969</x:v>
      </x:c>
      <x:c r="E626" t="str">
        <x:v>Instagram</x:v>
      </x:c>
      <x:c r="F626" t="str">
        <x:v>Udaipur</x:v>
      </x:c>
      <x:c r="G626" t="str">
        <x:v>Block Printing</x:v>
      </x:c>
      <x:c r="H626" t="n">
        <x:v>10</x:v>
      </x:c>
      <x:c r="I626" t="n">
        <x:v>3000</x:v>
      </x:c>
      <x:c r="J626" t="str">
        <x:v>Completed</x:v>
      </x:c>
      <x:c r="K626" t="n">
        <x:f>H626*I626</x:f>
        <x:v>30000</x:v>
      </x:c>
      <x:c r="L626" s="16" t="n">
        <x:f>IF(J626="Completed",K626*0.80,0)</x:f>
        <x:v>24000</x:v>
      </x:c>
      <x:c r="M626" t="n">
        <x:v>4.3</x:v>
      </x:c>
      <x:c r="N626" t="str">
        <x:v>Yes</x:v>
      </x:c>
      <x:c r="O626" t="str">
        <x:v>Customer Success</x:v>
      </x:c>
    </x:row>
    <x:row r="627">
      <x:c r="A627" t="str">
        <x:v>CRB5625</x:v>
      </x:c>
      <x:c r="B627" t="str">
        <x:v>2026-07-13</x:v>
      </x:c>
      <x:c r="C627" t="str">
        <x:v>Ananya Reddy</x:v>
      </x:c>
      <x:c r="D627" t="str">
        <x:v>u3970</x:v>
      </x:c>
      <x:c r="E627" t="str">
        <x:v>Referral</x:v>
      </x:c>
      <x:c r="F627" t="str">
        <x:v>Khurja</x:v>
      </x:c>
      <x:c r="G627" t="str">
        <x:v>Pottery</x:v>
      </x:c>
      <x:c r="H627" t="n">
        <x:v>4</x:v>
      </x:c>
      <x:c r="I627" t="n">
        <x:v>2500</x:v>
      </x:c>
      <x:c r="J627" t="str">
        <x:v>Completed</x:v>
      </x:c>
      <x:c r="K627" t="n">
        <x:f>H627*I627</x:f>
        <x:v>10000</x:v>
      </x:c>
      <x:c r="L627" s="16" t="n">
        <x:f>IF(J627="Completed",K627*0.80,0)</x:f>
        <x:v>8000</x:v>
      </x:c>
      <x:c r="M627" t="n">
        <x:v>4.9</x:v>
      </x:c>
      <x:c r="N627" t="str">
        <x:v>Yes</x:v>
      </x:c>
      <x:c r="O627" t="str">
        <x:v>Revenue / Enterprise Team</x:v>
      </x:c>
    </x:row>
    <x:row r="628">
      <x:c r="A628" t="str">
        <x:v>CRB5626</x:v>
      </x:c>
      <x:c r="B628" t="str">
        <x:v>2026-07-13</x:v>
      </x:c>
      <x:c r="C628" t="str">
        <x:v>Rahul Mehta</x:v>
      </x:c>
      <x:c r="D628" t="str">
        <x:v>u3973</x:v>
      </x:c>
      <x:c r="E628" t="str">
        <x:v>Direct</x:v>
      </x:c>
      <x:c r="F628" t="str">
        <x:v>Bangalore</x:v>
      </x:c>
      <x:c r="G628" t="str">
        <x:v>Warli Painting</x:v>
      </x:c>
      <x:c r="H628" t="n">
        <x:v>2</x:v>
      </x:c>
      <x:c r="I628" t="n">
        <x:v>1500</x:v>
      </x:c>
      <x:c r="J628" t="str">
        <x:v>Completed</x:v>
      </x:c>
      <x:c r="K628" t="n">
        <x:f>H628*I628</x:f>
        <x:v>3000</x:v>
      </x:c>
      <x:c r="L628" s="16" t="n">
        <x:f>IF(J628="Completed",K628*0.80,0)</x:f>
        <x:v>2400</x:v>
      </x:c>
      <x:c r="M628" t="n">
        <x:v>4.3</x:v>
      </x:c>
      <x:c r="N628" t="str">
        <x:v>No</x:v>
      </x:c>
      <x:c r="O628" t="str">
        <x:v>Traveler Success</x:v>
      </x:c>
    </x:row>
    <x:row r="629">
      <x:c r="A629" t="str">
        <x:v>CRB5627</x:v>
      </x:c>
      <x:c r="B629" t="str">
        <x:v>2026-07-13</x:v>
      </x:c>
      <x:c r="C629" t="str">
        <x:v>Priya Sharma</x:v>
      </x:c>
      <x:c r="D629" t="str">
        <x:v>u3978</x:v>
      </x:c>
      <x:c r="E629" t="str">
        <x:v>Google Search</x:v>
      </x:c>
      <x:c r="F629" t="str">
        <x:v>Khurja</x:v>
      </x:c>
      <x:c r="G629" t="str">
        <x:v>Weaving</x:v>
      </x:c>
      <x:c r="H629" t="n">
        <x:v>10</x:v>
      </x:c>
      <x:c r="I629" t="n">
        <x:v>2000</x:v>
      </x:c>
      <x:c r="J629" t="str">
        <x:v>Completed</x:v>
      </x:c>
      <x:c r="K629" t="n">
        <x:f>H629*I629</x:f>
        <x:v>20000</x:v>
      </x:c>
      <x:c r="L629" s="16" t="n">
        <x:f>IF(J629="Completed",K629*0.80,0)</x:f>
        <x:v>16000</x:v>
      </x:c>
      <x:c r="M629" t="n">
        <x:v>4.5</x:v>
      </x:c>
      <x:c r="N629" t="str">
        <x:v>No</x:v>
      </x:c>
      <x:c r="O629" t="str">
        <x:v>Revenue / Enterprise Team</x:v>
      </x:c>
    </x:row>
    <x:row r="630">
      <x:c r="A630" t="str">
        <x:v>CRB5628</x:v>
      </x:c>
      <x:c r="B630" t="str">
        <x:v>2026-07-13</x:v>
      </x:c>
      <x:c r="C630" t="str">
        <x:v>Ananya Reddy</x:v>
      </x:c>
      <x:c r="D630" t="str">
        <x:v>u3985</x:v>
      </x:c>
      <x:c r="E630" t="str">
        <x:v>Referral</x:v>
      </x:c>
      <x:c r="F630" t="str">
        <x:v>Jaipur</x:v>
      </x:c>
      <x:c r="G630" t="str">
        <x:v>Pottery</x:v>
      </x:c>
      <x:c r="H630" t="n">
        <x:v>1</x:v>
      </x:c>
      <x:c r="I630" t="n">
        <x:v>1500</x:v>
      </x:c>
      <x:c r="J630" t="str">
        <x:v>Completed</x:v>
      </x:c>
      <x:c r="K630" t="n">
        <x:f>H630*I630</x:f>
        <x:v>1500</x:v>
      </x:c>
      <x:c r="L630" s="16" t="n">
        <x:f>IF(J630="Completed",K630*0.80,0)</x:f>
        <x:v>1200</x:v>
      </x:c>
      <x:c r="M630" t="n">
        <x:v>4.8</x:v>
      </x:c>
      <x:c r="N630" t="str">
        <x:v>Yes</x:v>
      </x:c>
      <x:c r="O630" t="str">
        <x:v>Revenue / Enterprise Team</x:v>
      </x:c>
    </x:row>
    <x:row r="631">
      <x:c r="A631" t="str">
        <x:v>CRB5629</x:v>
      </x:c>
      <x:c r="B631" t="str">
        <x:v>2026-07-13</x:v>
      </x:c>
      <x:c r="C631" t="str">
        <x:v>Priya Sharma</x:v>
      </x:c>
      <x:c r="D631" t="str">
        <x:v>u3997</x:v>
      </x:c>
      <x:c r="E631" t="str">
        <x:v>Google Search</x:v>
      </x:c>
      <x:c r="F631" t="str">
        <x:v>Khurja</x:v>
      </x:c>
      <x:c r="G631" t="str">
        <x:v>Block Printing</x:v>
      </x:c>
      <x:c r="H631" t="n">
        <x:v>1</x:v>
      </x:c>
      <x:c r="I631" t="n">
        <x:v>2000</x:v>
      </x:c>
      <x:c r="J631" t="str">
        <x:v>Completed</x:v>
      </x:c>
      <x:c r="K631" t="n">
        <x:f>H631*I631</x:f>
        <x:v>2000</x:v>
      </x:c>
      <x:c r="L631" s="16" t="n">
        <x:f>IF(J631="Completed",K631*0.80,0)</x:f>
        <x:v>1600</x:v>
      </x:c>
      <x:c r="M631" t="n">
        <x:v>4.1</x:v>
      </x:c>
      <x:c r="N631" t="str">
        <x:v>No</x:v>
      </x:c>
      <x:c r="O631" t="str">
        <x:v>Revenue / Enterprise Team</x:v>
      </x:c>
    </x:row>
    <x:row r="632">
      <x:c r="A632" t="str">
        <x:v>CRB5630</x:v>
      </x:c>
      <x:c r="B632" t="str">
        <x:v>2026-07-13</x:v>
      </x:c>
      <x:c r="C632" t="str">
        <x:v>Priya Sharma</x:v>
      </x:c>
      <x:c r="D632" t="str">
        <x:v>u4002</x:v>
      </x:c>
      <x:c r="E632" t="str">
        <x:v>Google Search</x:v>
      </x:c>
      <x:c r="F632" t="str">
        <x:v>Jaipur</x:v>
      </x:c>
      <x:c r="G632" t="str">
        <x:v>Warli Painting</x:v>
      </x:c>
      <x:c r="H632" t="n">
        <x:v>10</x:v>
      </x:c>
      <x:c r="I632" t="n">
        <x:v>1500</x:v>
      </x:c>
      <x:c r="J632" t="str">
        <x:v>Completed</x:v>
      </x:c>
      <x:c r="K632" t="n">
        <x:f>H632*I632</x:f>
        <x:v>15000</x:v>
      </x:c>
      <x:c r="L632" s="16" t="n">
        <x:f>IF(J632="Completed",K632*0.80,0)</x:f>
        <x:v>12000</x:v>
      </x:c>
      <x:c r="M632" t="n">
        <x:v>4.6</x:v>
      </x:c>
      <x:c r="N632" t="str">
        <x:v>Yes</x:v>
      </x:c>
      <x:c r="O632" t="str">
        <x:v>Customer Success</x:v>
      </x:c>
    </x:row>
    <x:row r="633">
      <x:c r="A633" t="str">
        <x:v>CRB5631</x:v>
      </x:c>
      <x:c r="B633" t="str">
        <x:v>2026-07-13</x:v>
      </x:c>
      <x:c r="C633" t="str">
        <x:v>Ananya Reddy</x:v>
      </x:c>
      <x:c r="D633" t="str">
        <x:v>u4007</x:v>
      </x:c>
      <x:c r="E633" t="str">
        <x:v>Direct</x:v>
      </x:c>
      <x:c r="F633" t="str">
        <x:v>Khurja</x:v>
      </x:c>
      <x:c r="G633" t="str">
        <x:v>Warli Painting</x:v>
      </x:c>
      <x:c r="H633" t="n">
        <x:v>10</x:v>
      </x:c>
      <x:c r="I633" t="n">
        <x:v>1800</x:v>
      </x:c>
      <x:c r="J633" t="str">
        <x:v>Completed</x:v>
      </x:c>
      <x:c r="K633" t="n">
        <x:f>H633*I633</x:f>
        <x:v>18000</x:v>
      </x:c>
      <x:c r="L633" s="16" t="n">
        <x:f>IF(J633="Completed",K633*0.80,0)</x:f>
        <x:v>14400</x:v>
      </x:c>
      <x:c r="M633" t="n">
        <x:v>4.9</x:v>
      </x:c>
      <x:c r="N633" t="str">
        <x:v>No</x:v>
      </x:c>
      <x:c r="O633" t="str">
        <x:v>Revenue / Enterprise Team</x:v>
      </x:c>
    </x:row>
    <x:row r="634">
      <x:c r="A634" t="str">
        <x:v>CRB5632</x:v>
      </x:c>
      <x:c r="B634" t="str">
        <x:v>2026-07-13</x:v>
      </x:c>
      <x:c r="C634" t="str">
        <x:v>Ananya Reddy</x:v>
      </x:c>
      <x:c r="D634" t="str">
        <x:v>u4011</x:v>
      </x:c>
      <x:c r="E634" t="str">
        <x:v>Travel Blog</x:v>
      </x:c>
      <x:c r="F634" t="str">
        <x:v>Khurja</x:v>
      </x:c>
      <x:c r="G634" t="str">
        <x:v>Blue Pottery</x:v>
      </x:c>
      <x:c r="H634" t="n">
        <x:v>2</x:v>
      </x:c>
      <x:c r="I634" t="n">
        <x:v>1500</x:v>
      </x:c>
      <x:c r="J634" t="str">
        <x:v>No-show</x:v>
      </x:c>
      <x:c r="K634" t="n">
        <x:f>H634*I634</x:f>
        <x:v>3000</x:v>
      </x:c>
      <x:c r="L634" s="16" t="n">
        <x:f>IF(J634="Completed",K634*0.80,0)</x:f>
        <x:v>0</x:v>
      </x:c>
      <x:c r="M634" t="str"/>
      <x:c r="N634" t="str">
        <x:v>No</x:v>
      </x:c>
      <x:c r="O634" t="str">
        <x:v>Revenue / Enterprise Team</x:v>
      </x:c>
    </x:row>
    <x:row r="635">
      <x:c r="A635" t="str">
        <x:v>CRB5633</x:v>
      </x:c>
      <x:c r="B635" t="str">
        <x:v>2026-07-13</x:v>
      </x:c>
      <x:c r="C635" t="str">
        <x:v>Rahul Mehta</x:v>
      </x:c>
      <x:c r="D635" t="str">
        <x:v>u4016</x:v>
      </x:c>
      <x:c r="E635" t="str">
        <x:v>Instagram</x:v>
      </x:c>
      <x:c r="F635" t="str">
        <x:v>Udaipur</x:v>
      </x:c>
      <x:c r="G635" t="str">
        <x:v>Blue Pottery</x:v>
      </x:c>
      <x:c r="H635" t="n">
        <x:v>6</x:v>
      </x:c>
      <x:c r="I635" t="n">
        <x:v>3500</x:v>
      </x:c>
      <x:c r="J635" t="str">
        <x:v>Completed</x:v>
      </x:c>
      <x:c r="K635" t="n">
        <x:f>H635*I635</x:f>
        <x:v>21000</x:v>
      </x:c>
      <x:c r="L635" s="16" t="n">
        <x:f>IF(J635="Completed",K635*0.80,0)</x:f>
        <x:v>16800</x:v>
      </x:c>
      <x:c r="M635" t="n">
        <x:v>4.9</x:v>
      </x:c>
      <x:c r="N635" t="str">
        <x:v>Yes</x:v>
      </x:c>
      <x:c r="O635" t="str">
        <x:v>Revenue / Enterprise Team</x:v>
      </x:c>
    </x:row>
    <x:row r="636">
      <x:c r="A636" t="str">
        <x:v>CRB5634</x:v>
      </x:c>
      <x:c r="B636" t="str">
        <x:v>2026-07-13</x:v>
      </x:c>
      <x:c r="C636" t="str">
        <x:v>Rahul Mehta</x:v>
      </x:c>
      <x:c r="D636" t="str">
        <x:v>u4025</x:v>
      </x:c>
      <x:c r="E636" t="str">
        <x:v>Google Search</x:v>
      </x:c>
      <x:c r="F636" t="str">
        <x:v>Varanasi</x:v>
      </x:c>
      <x:c r="G636" t="str">
        <x:v>Weaving</x:v>
      </x:c>
      <x:c r="H636" t="n">
        <x:v>1</x:v>
      </x:c>
      <x:c r="I636" t="n">
        <x:v>3500</x:v>
      </x:c>
      <x:c r="J636" t="str">
        <x:v>Completed</x:v>
      </x:c>
      <x:c r="K636" t="n">
        <x:f>H636*I636</x:f>
        <x:v>3500</x:v>
      </x:c>
      <x:c r="L636" s="16" t="n">
        <x:f>IF(J636="Completed",K636*0.80,0)</x:f>
        <x:v>2800</x:v>
      </x:c>
      <x:c r="M636" t="n">
        <x:v>4</x:v>
      </x:c>
      <x:c r="N636" t="str">
        <x:v>Yes</x:v>
      </x:c>
      <x:c r="O636" t="str">
        <x:v>Customer Success</x:v>
      </x:c>
    </x:row>
    <x:row r="637">
      <x:c r="A637" t="str">
        <x:v>CRB5635</x:v>
      </x:c>
      <x:c r="B637" t="str">
        <x:v>2026-07-13</x:v>
      </x:c>
      <x:c r="C637" t="str">
        <x:v>Rahul Mehta</x:v>
      </x:c>
      <x:c r="D637" t="str">
        <x:v>u4037</x:v>
      </x:c>
      <x:c r="E637" t="str">
        <x:v>Google Search</x:v>
      </x:c>
      <x:c r="F637" t="str">
        <x:v>Jaipur</x:v>
      </x:c>
      <x:c r="G637" t="str">
        <x:v>Block Printing</x:v>
      </x:c>
      <x:c r="H637" t="n">
        <x:v>10</x:v>
      </x:c>
      <x:c r="I637" t="n">
        <x:v>2200</x:v>
      </x:c>
      <x:c r="J637" t="str">
        <x:v>Completed</x:v>
      </x:c>
      <x:c r="K637" t="n">
        <x:f>H637*I637</x:f>
        <x:v>22000</x:v>
      </x:c>
      <x:c r="L637" s="16" t="n">
        <x:f>IF(J637="Completed",K637*0.80,0)</x:f>
        <x:v>17600</x:v>
      </x:c>
      <x:c r="M637" t="n">
        <x:v>3.9</x:v>
      </x:c>
      <x:c r="N637" t="str">
        <x:v>No</x:v>
      </x:c>
      <x:c r="O637" t="str">
        <x:v>Customer Success</x:v>
      </x:c>
    </x:row>
    <x:row r="638">
      <x:c r="A638" t="str">
        <x:v>CRB5636</x:v>
      </x:c>
      <x:c r="B638" t="str">
        <x:v>2026-07-13</x:v>
      </x:c>
      <x:c r="C638" t="str">
        <x:v>Ananya Reddy</x:v>
      </x:c>
      <x:c r="D638" t="str">
        <x:v>u4039</x:v>
      </x:c>
      <x:c r="E638" t="str">
        <x:v>Instagram</x:v>
      </x:c>
      <x:c r="F638" t="str">
        <x:v>Bangalore</x:v>
      </x:c>
      <x:c r="G638" t="str">
        <x:v>Warli Painting</x:v>
      </x:c>
      <x:c r="H638" t="n">
        <x:v>1</x:v>
      </x:c>
      <x:c r="I638" t="n">
        <x:v>2000</x:v>
      </x:c>
      <x:c r="J638" t="str">
        <x:v>Completed</x:v>
      </x:c>
      <x:c r="K638" t="n">
        <x:f>H638*I638</x:f>
        <x:v>2000</x:v>
      </x:c>
      <x:c r="L638" s="16" t="n">
        <x:f>IF(J638="Completed",K638*0.80,0)</x:f>
        <x:v>1600</x:v>
      </x:c>
      <x:c r="M638" t="n">
        <x:v>4.4</x:v>
      </x:c>
      <x:c r="N638" t="str">
        <x:v>No</x:v>
      </x:c>
      <x:c r="O638" t="str">
        <x:v>Customer Success</x:v>
      </x:c>
    </x:row>
    <x:row r="639">
      <x:c r="A639" t="str">
        <x:v>CRB5637</x:v>
      </x:c>
      <x:c r="B639" t="str">
        <x:v>2026-07-13</x:v>
      </x:c>
      <x:c r="C639" t="str">
        <x:v>Sofia Martinez</x:v>
      </x:c>
      <x:c r="D639" t="str">
        <x:v>u4045</x:v>
      </x:c>
      <x:c r="E639" t="str">
        <x:v>Referral</x:v>
      </x:c>
      <x:c r="F639" t="str">
        <x:v>Udaipur</x:v>
      </x:c>
      <x:c r="G639" t="str">
        <x:v>Weaving</x:v>
      </x:c>
      <x:c r="H639" t="n">
        <x:v>12</x:v>
      </x:c>
      <x:c r="I639" t="n">
        <x:v>2500</x:v>
      </x:c>
      <x:c r="J639" t="str">
        <x:v>Completed</x:v>
      </x:c>
      <x:c r="K639" t="n">
        <x:f>H639*I639</x:f>
        <x:v>30000</x:v>
      </x:c>
      <x:c r="L639" s="16" t="n">
        <x:f>IF(J639="Completed",K639*0.80,0)</x:f>
        <x:v>24000</x:v>
      </x:c>
      <x:c r="M639" t="n">
        <x:v>4.2</x:v>
      </x:c>
      <x:c r="N639" t="str">
        <x:v>Yes</x:v>
      </x:c>
      <x:c r="O639" t="str">
        <x:v>Revenue / Enterprise Team</x:v>
      </x:c>
    </x:row>
    <x:row r="640">
      <x:c r="A640" t="str">
        <x:v>CRB5638</x:v>
      </x:c>
      <x:c r="B640" t="str">
        <x:v>2026-07-13</x:v>
      </x:c>
      <x:c r="C640" t="str">
        <x:v>Mark Thompson</x:v>
      </x:c>
      <x:c r="D640" t="str">
        <x:v>u4047</x:v>
      </x:c>
      <x:c r="E640" t="str">
        <x:v>Instagram</x:v>
      </x:c>
      <x:c r="F640" t="str">
        <x:v>Jaipur</x:v>
      </x:c>
      <x:c r="G640" t="str">
        <x:v>Block Printing</x:v>
      </x:c>
      <x:c r="H640" t="n">
        <x:v>2</x:v>
      </x:c>
      <x:c r="I640" t="n">
        <x:v>1500</x:v>
      </x:c>
      <x:c r="J640" t="str">
        <x:v>Completed</x:v>
      </x:c>
      <x:c r="K640" t="n">
        <x:f>H640*I640</x:f>
        <x:v>3000</x:v>
      </x:c>
      <x:c r="L640" s="16" t="n">
        <x:f>IF(J640="Completed",K640*0.80,0)</x:f>
        <x:v>2400</x:v>
      </x:c>
      <x:c r="M640" t="n">
        <x:v>4.2</x:v>
      </x:c>
      <x:c r="N640" t="str">
        <x:v>No</x:v>
      </x:c>
      <x:c r="O640" t="str">
        <x:v>Revenue / Enterprise Team</x:v>
      </x:c>
    </x:row>
    <x:row r="641">
      <x:c r="A641" t="str">
        <x:v>CRB5639</x:v>
      </x:c>
      <x:c r="B641" t="str">
        <x:v>2026-07-13</x:v>
      </x:c>
      <x:c r="C641" t="str">
        <x:v>Rahul Mehta</x:v>
      </x:c>
      <x:c r="D641" t="str">
        <x:v>u4054</x:v>
      </x:c>
      <x:c r="E641" t="str">
        <x:v>Google Search</x:v>
      </x:c>
      <x:c r="F641" t="str">
        <x:v>Varanasi</x:v>
      </x:c>
      <x:c r="G641" t="str">
        <x:v>Blue Pottery</x:v>
      </x:c>
      <x:c r="H641" t="n">
        <x:v>10</x:v>
      </x:c>
      <x:c r="I641" t="n">
        <x:v>2000</x:v>
      </x:c>
      <x:c r="J641" t="str">
        <x:v>Completed</x:v>
      </x:c>
      <x:c r="K641" t="n">
        <x:f>H641*I641</x:f>
        <x:v>20000</x:v>
      </x:c>
      <x:c r="L641" s="16" t="n">
        <x:f>IF(J641="Completed",K641*0.80,0)</x:f>
        <x:v>16000</x:v>
      </x:c>
      <x:c r="M641" t="n">
        <x:v>4.2</x:v>
      </x:c>
      <x:c r="N641" t="str">
        <x:v>No</x:v>
      </x:c>
      <x:c r="O641" t="str">
        <x:v>Revenue / Enterprise Team</x:v>
      </x:c>
    </x:row>
    <x:row r="642">
      <x:c r="A642" t="str">
        <x:v>CRB5640</x:v>
      </x:c>
      <x:c r="B642" t="str">
        <x:v>2026-07-13</x:v>
      </x:c>
      <x:c r="C642" t="str">
        <x:v>Rahul Mehta</x:v>
      </x:c>
      <x:c r="D642" t="str">
        <x:v>u4061</x:v>
      </x:c>
      <x:c r="E642" t="str">
        <x:v>Travel Blog</x:v>
      </x:c>
      <x:c r="F642" t="str">
        <x:v>Udaipur</x:v>
      </x:c>
      <x:c r="G642" t="str">
        <x:v>Pottery</x:v>
      </x:c>
      <x:c r="H642" t="n">
        <x:v>3</x:v>
      </x:c>
      <x:c r="I642" t="n">
        <x:v>2500</x:v>
      </x:c>
      <x:c r="J642" t="str">
        <x:v>Completed</x:v>
      </x:c>
      <x:c r="K642" t="n">
        <x:f>H642*I642</x:f>
        <x:v>7500</x:v>
      </x:c>
      <x:c r="L642" s="16" t="n">
        <x:f>IF(J642="Completed",K642*0.80,0)</x:f>
        <x:v>6000</x:v>
      </x:c>
      <x:c r="M642" t="n">
        <x:v>4.6</x:v>
      </x:c>
      <x:c r="N642" t="str">
        <x:v>No</x:v>
      </x:c>
      <x:c r="O642" t="str">
        <x:v>Traveler Success</x:v>
      </x:c>
    </x:row>
    <x:row r="643">
      <x:c r="A643" t="str">
        <x:v>CRB5641</x:v>
      </x:c>
      <x:c r="B643" t="str">
        <x:v>2026-07-13</x:v>
      </x:c>
      <x:c r="C643" t="str">
        <x:v>Rahul Mehta</x:v>
      </x:c>
      <x:c r="D643" t="str">
        <x:v>u4073</x:v>
      </x:c>
      <x:c r="E643" t="str">
        <x:v>Travel Blog</x:v>
      </x:c>
      <x:c r="F643" t="str">
        <x:v>Jaipur</x:v>
      </x:c>
      <x:c r="G643" t="str">
        <x:v>Block Printing</x:v>
      </x:c>
      <x:c r="H643" t="n">
        <x:v>2</x:v>
      </x:c>
      <x:c r="I643" t="n">
        <x:v>2200</x:v>
      </x:c>
      <x:c r="J643" t="str">
        <x:v>Cancelled</x:v>
      </x:c>
      <x:c r="K643" t="n">
        <x:f>H643*I643</x:f>
        <x:v>4400</x:v>
      </x:c>
      <x:c r="L643" s="16" t="n">
        <x:f>IF(J643="Completed",K643*0.80,0)</x:f>
        <x:v>0</x:v>
      </x:c>
      <x:c r="M643" t="str"/>
      <x:c r="N643" t="str">
        <x:v>No</x:v>
      </x:c>
      <x:c r="O643" t="str">
        <x:v>Revenue / Enterprise Team</x:v>
      </x:c>
    </x:row>
    <x:row r="644">
      <x:c r="A644" t="str">
        <x:v>CRB5642</x:v>
      </x:c>
      <x:c r="B644" t="str">
        <x:v>2026-07-13</x:v>
      </x:c>
      <x:c r="C644" t="str">
        <x:v>Mark Thompson</x:v>
      </x:c>
      <x:c r="D644" t="str">
        <x:v>u4076</x:v>
      </x:c>
      <x:c r="E644" t="str">
        <x:v>Direct</x:v>
      </x:c>
      <x:c r="F644" t="str">
        <x:v>Udaipur</x:v>
      </x:c>
      <x:c r="G644" t="str">
        <x:v>Pottery</x:v>
      </x:c>
      <x:c r="H644" t="n">
        <x:v>12</x:v>
      </x:c>
      <x:c r="I644" t="n">
        <x:v>3000</x:v>
      </x:c>
      <x:c r="J644" t="str">
        <x:v>Completed</x:v>
      </x:c>
      <x:c r="K644" t="n">
        <x:f>H644*I644</x:f>
        <x:v>36000</x:v>
      </x:c>
      <x:c r="L644" s="16" t="n">
        <x:f>IF(J644="Completed",K644*0.80,0)</x:f>
        <x:v>28800</x:v>
      </x:c>
      <x:c r="M644" t="n">
        <x:v>4.6</x:v>
      </x:c>
      <x:c r="N644" t="str">
        <x:v>No</x:v>
      </x:c>
      <x:c r="O644" t="str">
        <x:v>Customer Success</x:v>
      </x:c>
    </x:row>
    <x:row r="645">
      <x:c r="A645" t="str">
        <x:v>CRB5643</x:v>
      </x:c>
      <x:c r="B645" t="str">
        <x:v>2026-07-13</x:v>
      </x:c>
      <x:c r="C645" t="str">
        <x:v>Rahul Mehta</x:v>
      </x:c>
      <x:c r="D645" t="str">
        <x:v>u4078</x:v>
      </x:c>
      <x:c r="E645" t="str">
        <x:v>Referral</x:v>
      </x:c>
      <x:c r="F645" t="str">
        <x:v>Udaipur</x:v>
      </x:c>
      <x:c r="G645" t="str">
        <x:v>Blue Pottery</x:v>
      </x:c>
      <x:c r="H645" t="n">
        <x:v>2</x:v>
      </x:c>
      <x:c r="I645" t="n">
        <x:v>3000</x:v>
      </x:c>
      <x:c r="J645" t="str">
        <x:v>Completed</x:v>
      </x:c>
      <x:c r="K645" t="n">
        <x:f>H645*I645</x:f>
        <x:v>6000</x:v>
      </x:c>
      <x:c r="L645" s="16" t="n">
        <x:f>IF(J645="Completed",K645*0.80,0)</x:f>
        <x:v>4800</x:v>
      </x:c>
      <x:c r="M645" t="n">
        <x:v>4.9</x:v>
      </x:c>
      <x:c r="N645" t="str">
        <x:v>No</x:v>
      </x:c>
      <x:c r="O645" t="str">
        <x:v>Revenue / Enterprise Team</x:v>
      </x:c>
    </x:row>
    <x:row r="646">
      <x:c r="A646" t="str">
        <x:v>CRB5644</x:v>
      </x:c>
      <x:c r="B646" t="str">
        <x:v>2026-07-13</x:v>
      </x:c>
      <x:c r="C646" t="str">
        <x:v>Rahul Mehta</x:v>
      </x:c>
      <x:c r="D646" t="str">
        <x:v>u4085</x:v>
      </x:c>
      <x:c r="E646" t="str">
        <x:v>Travel Blog</x:v>
      </x:c>
      <x:c r="F646" t="str">
        <x:v>Bangalore</x:v>
      </x:c>
      <x:c r="G646" t="str">
        <x:v>Weaving</x:v>
      </x:c>
      <x:c r="H646" t="n">
        <x:v>4</x:v>
      </x:c>
      <x:c r="I646" t="n">
        <x:v>3000</x:v>
      </x:c>
      <x:c r="J646" t="str">
        <x:v>Cancelled</x:v>
      </x:c>
      <x:c r="K646" t="n">
        <x:f>H646*I646</x:f>
        <x:v>12000</x:v>
      </x:c>
      <x:c r="L646" s="16" t="n">
        <x:f>IF(J646="Completed",K646*0.80,0)</x:f>
        <x:v>0</x:v>
      </x:c>
      <x:c r="M646" t="str"/>
      <x:c r="N646" t="str">
        <x:v>No</x:v>
      </x:c>
      <x:c r="O646" t="str">
        <x:v>Revenue / Enterprise Team</x:v>
      </x:c>
    </x:row>
    <x:row r="647">
      <x:c r="A647" t="str">
        <x:v>CRB5645</x:v>
      </x:c>
      <x:c r="B647" t="str">
        <x:v>2026-07-13</x:v>
      </x:c>
      <x:c r="C647" t="str">
        <x:v>Rahul Mehta</x:v>
      </x:c>
      <x:c r="D647" t="str">
        <x:v>u4091</x:v>
      </x:c>
      <x:c r="E647" t="str">
        <x:v>Instagram</x:v>
      </x:c>
      <x:c r="F647" t="str">
        <x:v>Khurja</x:v>
      </x:c>
      <x:c r="G647" t="str">
        <x:v>Weaving</x:v>
      </x:c>
      <x:c r="H647" t="n">
        <x:v>12</x:v>
      </x:c>
      <x:c r="I647" t="n">
        <x:v>1500</x:v>
      </x:c>
      <x:c r="J647" t="str">
        <x:v>Completed</x:v>
      </x:c>
      <x:c r="K647" t="n">
        <x:f>H647*I647</x:f>
        <x:v>18000</x:v>
      </x:c>
      <x:c r="L647" s="16" t="n">
        <x:f>IF(J647="Completed",K647*0.80,0)</x:f>
        <x:v>14400</x:v>
      </x:c>
      <x:c r="M647" t="n">
        <x:v>4.7</x:v>
      </x:c>
      <x:c r="N647" t="str">
        <x:v>No</x:v>
      </x:c>
      <x:c r="O647" t="str">
        <x:v>Customer Success</x:v>
      </x:c>
    </x:row>
    <x:row r="648">
      <x:c r="A648" t="str">
        <x:v>CRB5646</x:v>
      </x:c>
      <x:c r="B648" t="str">
        <x:v>2026-07-13</x:v>
      </x:c>
      <x:c r="C648" t="str">
        <x:v>Rahul Mehta</x:v>
      </x:c>
      <x:c r="D648" t="str">
        <x:v>u4092</x:v>
      </x:c>
      <x:c r="E648" t="str">
        <x:v>Referral</x:v>
      </x:c>
      <x:c r="F648" t="str">
        <x:v>Jaipur</x:v>
      </x:c>
      <x:c r="G648" t="str">
        <x:v>Weaving</x:v>
      </x:c>
      <x:c r="H648" t="n">
        <x:v>2</x:v>
      </x:c>
      <x:c r="I648" t="n">
        <x:v>2500</x:v>
      </x:c>
      <x:c r="J648" t="str">
        <x:v>No-show</x:v>
      </x:c>
      <x:c r="K648" t="n">
        <x:f>H648*I648</x:f>
        <x:v>5000</x:v>
      </x:c>
      <x:c r="L648" s="16" t="n">
        <x:f>IF(J648="Completed",K648*0.80,0)</x:f>
        <x:v>0</x:v>
      </x:c>
      <x:c r="M648" t="str"/>
      <x:c r="N648" t="str">
        <x:v>Yes</x:v>
      </x:c>
      <x:c r="O648" t="str">
        <x:v>Traveler Success</x:v>
      </x:c>
    </x:row>
    <x:row r="649">
      <x:c r="A649" t="str">
        <x:v>CRB5647</x:v>
      </x:c>
      <x:c r="B649" t="str">
        <x:v>2026-07-13</x:v>
      </x:c>
      <x:c r="C649" t="str">
        <x:v>Sofia Martinez</x:v>
      </x:c>
      <x:c r="D649" t="str">
        <x:v>u4100</x:v>
      </x:c>
      <x:c r="E649" t="str">
        <x:v>Instagram</x:v>
      </x:c>
      <x:c r="F649" t="str">
        <x:v>Varanasi</x:v>
      </x:c>
      <x:c r="G649" t="str">
        <x:v>Warli Painting</x:v>
      </x:c>
      <x:c r="H649" t="n">
        <x:v>1</x:v>
      </x:c>
      <x:c r="I649" t="n">
        <x:v>3500</x:v>
      </x:c>
      <x:c r="J649" t="str">
        <x:v>Completed</x:v>
      </x:c>
      <x:c r="K649" t="n">
        <x:f>H649*I649</x:f>
        <x:v>3500</x:v>
      </x:c>
      <x:c r="L649" s="16" t="n">
        <x:f>IF(J649="Completed",K649*0.80,0)</x:f>
        <x:v>2800</x:v>
      </x:c>
      <x:c r="M649" t="n">
        <x:v>4</x:v>
      </x:c>
      <x:c r="N649" t="str">
        <x:v>Yes</x:v>
      </x:c>
      <x:c r="O649" t="str">
        <x:v>Revenue / Enterprise Team</x:v>
      </x:c>
    </x:row>
    <x:row r="650">
      <x:c r="A650" t="str">
        <x:v>CRB5648</x:v>
      </x:c>
      <x:c r="B650" t="str">
        <x:v>2026-07-13</x:v>
      </x:c>
      <x:c r="C650" t="str">
        <x:v>Priya Sharma</x:v>
      </x:c>
      <x:c r="D650" t="str">
        <x:v>u4104</x:v>
      </x:c>
      <x:c r="E650" t="str">
        <x:v>Instagram</x:v>
      </x:c>
      <x:c r="F650" t="str">
        <x:v>Khurja</x:v>
      </x:c>
      <x:c r="G650" t="str">
        <x:v>Blue Pottery</x:v>
      </x:c>
      <x:c r="H650" t="n">
        <x:v>2</x:v>
      </x:c>
      <x:c r="I650" t="n">
        <x:v>3500</x:v>
      </x:c>
      <x:c r="J650" t="str">
        <x:v>Completed</x:v>
      </x:c>
      <x:c r="K650" t="n">
        <x:f>H650*I650</x:f>
        <x:v>7000</x:v>
      </x:c>
      <x:c r="L650" s="16" t="n">
        <x:f>IF(J650="Completed",K650*0.80,0)</x:f>
        <x:v>5600</x:v>
      </x:c>
      <x:c r="M650" t="n">
        <x:v>4.1</x:v>
      </x:c>
      <x:c r="N650" t="str">
        <x:v>No</x:v>
      </x:c>
      <x:c r="O650" t="str">
        <x:v>Customer Success</x:v>
      </x:c>
    </x:row>
    <x:row r="651">
      <x:c r="A651" t="str">
        <x:v>CRB5649</x:v>
      </x:c>
      <x:c r="B651" t="str">
        <x:v>2026-07-13</x:v>
      </x:c>
      <x:c r="C651" t="str">
        <x:v>Rahul Mehta</x:v>
      </x:c>
      <x:c r="D651" t="str">
        <x:v>u4123</x:v>
      </x:c>
      <x:c r="E651" t="str">
        <x:v>Google Search</x:v>
      </x:c>
      <x:c r="F651" t="str">
        <x:v>Udaipur</x:v>
      </x:c>
      <x:c r="G651" t="str">
        <x:v>Pottery</x:v>
      </x:c>
      <x:c r="H651" t="n">
        <x:v>10</x:v>
      </x:c>
      <x:c r="I651" t="n">
        <x:v>1800</x:v>
      </x:c>
      <x:c r="J651" t="str">
        <x:v>Cancelled</x:v>
      </x:c>
      <x:c r="K651" t="n">
        <x:f>H651*I651</x:f>
        <x:v>18000</x:v>
      </x:c>
      <x:c r="L651" s="16" t="n">
        <x:f>IF(J651="Completed",K651*0.80,0)</x:f>
        <x:v>0</x:v>
      </x:c>
      <x:c r="M651" t="str"/>
      <x:c r="N651" t="str">
        <x:v>Yes</x:v>
      </x:c>
      <x:c r="O651" t="str">
        <x:v>Customer Success</x:v>
      </x:c>
    </x:row>
    <x:row r="652">
      <x:c r="A652" t="str">
        <x:v>CRB5650</x:v>
      </x:c>
      <x:c r="B652" t="str">
        <x:v>2026-07-13</x:v>
      </x:c>
      <x:c r="C652" t="str">
        <x:v>Mark Thompson</x:v>
      </x:c>
      <x:c r="D652" t="str">
        <x:v>u4129</x:v>
      </x:c>
      <x:c r="E652" t="str">
        <x:v>Referral</x:v>
      </x:c>
      <x:c r="F652" t="str">
        <x:v>Bangalore</x:v>
      </x:c>
      <x:c r="G652" t="str">
        <x:v>Warli Painting</x:v>
      </x:c>
      <x:c r="H652" t="n">
        <x:v>6</x:v>
      </x:c>
      <x:c r="I652" t="n">
        <x:v>1500</x:v>
      </x:c>
      <x:c r="J652" t="str">
        <x:v>Completed</x:v>
      </x:c>
      <x:c r="K652" t="n">
        <x:f>H652*I652</x:f>
        <x:v>9000</x:v>
      </x:c>
      <x:c r="L652" s="16" t="n">
        <x:f>IF(J652="Completed",K652*0.80,0)</x:f>
        <x:v>7200</x:v>
      </x:c>
      <x:c r="M652" t="n">
        <x:v>4.8</x:v>
      </x:c>
      <x:c r="N652" t="str">
        <x:v>No</x:v>
      </x:c>
      <x:c r="O652" t="str">
        <x:v>Traveler Success</x:v>
      </x:c>
    </x:row>
    <x:row r="653">
      <x:c r="A653" t="str">
        <x:v>CRB5651</x:v>
      </x:c>
      <x:c r="B653" t="str">
        <x:v>2026-07-13</x:v>
      </x:c>
      <x:c r="C653" t="str">
        <x:v>Priya Sharma</x:v>
      </x:c>
      <x:c r="D653" t="str">
        <x:v>u4130</x:v>
      </x:c>
      <x:c r="E653" t="str">
        <x:v>Travel Blog</x:v>
      </x:c>
      <x:c r="F653" t="str">
        <x:v>Jaipur</x:v>
      </x:c>
      <x:c r="G653" t="str">
        <x:v>Blue Pottery</x:v>
      </x:c>
      <x:c r="H653" t="n">
        <x:v>10</x:v>
      </x:c>
      <x:c r="I653" t="n">
        <x:v>3500</x:v>
      </x:c>
      <x:c r="J653" t="str">
        <x:v>Completed</x:v>
      </x:c>
      <x:c r="K653" t="n">
        <x:f>H653*I653</x:f>
        <x:v>35000</x:v>
      </x:c>
      <x:c r="L653" s="16" t="n">
        <x:f>IF(J653="Completed",K653*0.80,0)</x:f>
        <x:v>28000</x:v>
      </x:c>
      <x:c r="M653" t="n">
        <x:v>3.9</x:v>
      </x:c>
      <x:c r="N653" t="str">
        <x:v>No</x:v>
      </x:c>
      <x:c r="O653" t="str">
        <x:v>Customer Success</x:v>
      </x:c>
    </x:row>
    <x:row r="654">
      <x:c r="A654" t="str">
        <x:v>CRB5652</x:v>
      </x:c>
      <x:c r="B654" t="str">
        <x:v>2026-07-13</x:v>
      </x:c>
      <x:c r="C654" t="str">
        <x:v>Priya Sharma</x:v>
      </x:c>
      <x:c r="D654" t="str">
        <x:v>u4133</x:v>
      </x:c>
      <x:c r="E654" t="str">
        <x:v>Travel Blog</x:v>
      </x:c>
      <x:c r="F654" t="str">
        <x:v>Varanasi</x:v>
      </x:c>
      <x:c r="G654" t="str">
        <x:v>Warli Painting</x:v>
      </x:c>
      <x:c r="H654" t="n">
        <x:v>12</x:v>
      </x:c>
      <x:c r="I654" t="n">
        <x:v>2200</x:v>
      </x:c>
      <x:c r="J654" t="str">
        <x:v>Completed</x:v>
      </x:c>
      <x:c r="K654" t="n">
        <x:f>H654*I654</x:f>
        <x:v>26400</x:v>
      </x:c>
      <x:c r="L654" s="16" t="n">
        <x:f>IF(J654="Completed",K654*0.80,0)</x:f>
        <x:v>21120</x:v>
      </x:c>
      <x:c r="M654" t="n">
        <x:v>4.1</x:v>
      </x:c>
      <x:c r="N654" t="str">
        <x:v>Yes</x:v>
      </x:c>
      <x:c r="O654" t="str">
        <x:v>Revenue / Enterprise Team</x:v>
      </x:c>
    </x:row>
    <x:row r="655">
      <x:c r="A655" t="str">
        <x:v>CRB5653</x:v>
      </x:c>
      <x:c r="B655" t="str">
        <x:v>2026-07-13</x:v>
      </x:c>
      <x:c r="C655" t="str">
        <x:v>Mark Thompson</x:v>
      </x:c>
      <x:c r="D655" t="str">
        <x:v>u4138</x:v>
      </x:c>
      <x:c r="E655" t="str">
        <x:v>Referral</x:v>
      </x:c>
      <x:c r="F655" t="str">
        <x:v>Udaipur</x:v>
      </x:c>
      <x:c r="G655" t="str">
        <x:v>Blue Pottery</x:v>
      </x:c>
      <x:c r="H655" t="n">
        <x:v>1</x:v>
      </x:c>
      <x:c r="I655" t="n">
        <x:v>1500</x:v>
      </x:c>
      <x:c r="J655" t="str">
        <x:v>Completed</x:v>
      </x:c>
      <x:c r="K655" t="n">
        <x:f>H655*I655</x:f>
        <x:v>1500</x:v>
      </x:c>
      <x:c r="L655" s="16" t="n">
        <x:f>IF(J655="Completed",K655*0.80,0)</x:f>
        <x:v>1200</x:v>
      </x:c>
      <x:c r="M655" t="n">
        <x:v>4.5</x:v>
      </x:c>
      <x:c r="N655" t="str">
        <x:v>Yes</x:v>
      </x:c>
      <x:c r="O655" t="str">
        <x:v>Revenue / Enterprise Team</x:v>
      </x:c>
    </x:row>
    <x:row r="656">
      <x:c r="A656" t="str">
        <x:v>CRB5654</x:v>
      </x:c>
      <x:c r="B656" t="str">
        <x:v>2026-07-13</x:v>
      </x:c>
      <x:c r="C656" t="str">
        <x:v>Mark Thompson</x:v>
      </x:c>
      <x:c r="D656" t="str">
        <x:v>u4143</x:v>
      </x:c>
      <x:c r="E656" t="str">
        <x:v>Referral</x:v>
      </x:c>
      <x:c r="F656" t="str">
        <x:v>Bangalore</x:v>
      </x:c>
      <x:c r="G656" t="str">
        <x:v>Blue Pottery</x:v>
      </x:c>
      <x:c r="H656" t="n">
        <x:v>12</x:v>
      </x:c>
      <x:c r="I656" t="n">
        <x:v>3500</x:v>
      </x:c>
      <x:c r="J656" t="str">
        <x:v>Completed</x:v>
      </x:c>
      <x:c r="K656" t="n">
        <x:f>H656*I656</x:f>
        <x:v>42000</x:v>
      </x:c>
      <x:c r="L656" s="16" t="n">
        <x:f>IF(J656="Completed",K656*0.80,0)</x:f>
        <x:v>33600</x:v>
      </x:c>
      <x:c r="M656" t="n">
        <x:v>4.1</x:v>
      </x:c>
      <x:c r="N656" t="str">
        <x:v>No</x:v>
      </x:c>
      <x:c r="O656" t="str">
        <x:v>Traveler Success</x:v>
      </x:c>
    </x:row>
    <x:row r="657">
      <x:c r="A657" t="str">
        <x:v>CRB5655</x:v>
      </x:c>
      <x:c r="B657" t="str">
        <x:v>2026-07-13</x:v>
      </x:c>
      <x:c r="C657" t="str">
        <x:v>Ananya Reddy</x:v>
      </x:c>
      <x:c r="D657" t="str">
        <x:v>u4146</x:v>
      </x:c>
      <x:c r="E657" t="str">
        <x:v>Travel Blog</x:v>
      </x:c>
      <x:c r="F657" t="str">
        <x:v>Khurja</x:v>
      </x:c>
      <x:c r="G657" t="str">
        <x:v>Block Printing</x:v>
      </x:c>
      <x:c r="H657" t="n">
        <x:v>2</x:v>
      </x:c>
      <x:c r="I657" t="n">
        <x:v>1500</x:v>
      </x:c>
      <x:c r="J657" t="str">
        <x:v>Cancelled</x:v>
      </x:c>
      <x:c r="K657" t="n">
        <x:f>H657*I657</x:f>
        <x:v>3000</x:v>
      </x:c>
      <x:c r="L657" s="16" t="n">
        <x:f>IF(J657="Completed",K657*0.80,0)</x:f>
        <x:v>0</x:v>
      </x:c>
      <x:c r="M657" t="str"/>
      <x:c r="N657" t="str">
        <x:v>Yes</x:v>
      </x:c>
      <x:c r="O657" t="str">
        <x:v>Traveler Success</x:v>
      </x:c>
    </x:row>
    <x:row r="658">
      <x:c r="A658" t="str">
        <x:v>CRB5656</x:v>
      </x:c>
      <x:c r="B658" t="str">
        <x:v>2026-07-13</x:v>
      </x:c>
      <x:c r="C658" t="str">
        <x:v>Ananya Reddy</x:v>
      </x:c>
      <x:c r="D658" t="str">
        <x:v>u4151</x:v>
      </x:c>
      <x:c r="E658" t="str">
        <x:v>Google Search</x:v>
      </x:c>
      <x:c r="F658" t="str">
        <x:v>Varanasi</x:v>
      </x:c>
      <x:c r="G658" t="str">
        <x:v>Warli Painting</x:v>
      </x:c>
      <x:c r="H658" t="n">
        <x:v>12</x:v>
      </x:c>
      <x:c r="I658" t="n">
        <x:v>1500</x:v>
      </x:c>
      <x:c r="J658" t="str">
        <x:v>Completed</x:v>
      </x:c>
      <x:c r="K658" t="n">
        <x:f>H658*I658</x:f>
        <x:v>18000</x:v>
      </x:c>
      <x:c r="L658" s="16" t="n">
        <x:f>IF(J658="Completed",K658*0.80,0)</x:f>
        <x:v>14400</x:v>
      </x:c>
      <x:c r="M658" t="n">
        <x:v>4.6</x:v>
      </x:c>
      <x:c r="N658" t="str">
        <x:v>No</x:v>
      </x:c>
      <x:c r="O658" t="str">
        <x:v>Traveler Success</x:v>
      </x:c>
    </x:row>
    <x:row r="659">
      <x:c r="A659" t="str">
        <x:v>CRB5657</x:v>
      </x:c>
      <x:c r="B659" t="str">
        <x:v>2026-07-13</x:v>
      </x:c>
      <x:c r="C659" t="str">
        <x:v>Sofia Martinez</x:v>
      </x:c>
      <x:c r="D659" t="str">
        <x:v>u4155</x:v>
      </x:c>
      <x:c r="E659" t="str">
        <x:v>Referral</x:v>
      </x:c>
      <x:c r="F659" t="str">
        <x:v>Udaipur</x:v>
      </x:c>
      <x:c r="G659" t="str">
        <x:v>Block Printing</x:v>
      </x:c>
      <x:c r="H659" t="n">
        <x:v>2</x:v>
      </x:c>
      <x:c r="I659" t="n">
        <x:v>2200</x:v>
      </x:c>
      <x:c r="J659" t="str">
        <x:v>Completed</x:v>
      </x:c>
      <x:c r="K659" t="n">
        <x:f>H659*I659</x:f>
        <x:v>4400</x:v>
      </x:c>
      <x:c r="L659" s="16" t="n">
        <x:f>IF(J659="Completed",K659*0.80,0)</x:f>
        <x:v>3520</x:v>
      </x:c>
      <x:c r="M659" t="n">
        <x:v>4.2</x:v>
      </x:c>
      <x:c r="N659" t="str">
        <x:v>Yes</x:v>
      </x:c>
      <x:c r="O659" t="str">
        <x:v>Traveler Success</x:v>
      </x:c>
    </x:row>
    <x:row r="660">
      <x:c r="A660" t="str">
        <x:v>CRB5658</x:v>
      </x:c>
      <x:c r="B660" t="str">
        <x:v>2026-07-13</x:v>
      </x:c>
      <x:c r="C660" t="str">
        <x:v>Priya Sharma</x:v>
      </x:c>
      <x:c r="D660" t="str">
        <x:v>u4161</x:v>
      </x:c>
      <x:c r="E660" t="str">
        <x:v>Travel Blog</x:v>
      </x:c>
      <x:c r="F660" t="str">
        <x:v>Khurja</x:v>
      </x:c>
      <x:c r="G660" t="str">
        <x:v>Blue Pottery</x:v>
      </x:c>
      <x:c r="H660" t="n">
        <x:v>6</x:v>
      </x:c>
      <x:c r="I660" t="n">
        <x:v>2000</x:v>
      </x:c>
      <x:c r="J660" t="str">
        <x:v>Completed</x:v>
      </x:c>
      <x:c r="K660" t="n">
        <x:f>H660*I660</x:f>
        <x:v>12000</x:v>
      </x:c>
      <x:c r="L660" s="16" t="n">
        <x:f>IF(J660="Completed",K660*0.80,0)</x:f>
        <x:v>9600</x:v>
      </x:c>
      <x:c r="M660" t="n">
        <x:v>4.4</x:v>
      </x:c>
      <x:c r="N660" t="str">
        <x:v>No</x:v>
      </x:c>
      <x:c r="O660" t="str">
        <x:v>Revenue / Enterprise Team</x:v>
      </x:c>
    </x:row>
    <x:row r="661">
      <x:c r="A661" t="str">
        <x:v>CRB5659</x:v>
      </x:c>
      <x:c r="B661" t="str">
        <x:v>2026-07-13</x:v>
      </x:c>
      <x:c r="C661" t="str">
        <x:v>Priya Sharma</x:v>
      </x:c>
      <x:c r="D661" t="str">
        <x:v>u4167</x:v>
      </x:c>
      <x:c r="E661" t="str">
        <x:v>Referral</x:v>
      </x:c>
      <x:c r="F661" t="str">
        <x:v>Bangalore</x:v>
      </x:c>
      <x:c r="G661" t="str">
        <x:v>Warli Painting</x:v>
      </x:c>
      <x:c r="H661" t="n">
        <x:v>10</x:v>
      </x:c>
      <x:c r="I661" t="n">
        <x:v>1800</x:v>
      </x:c>
      <x:c r="J661" t="str">
        <x:v>Completed</x:v>
      </x:c>
      <x:c r="K661" t="n">
        <x:f>H661*I661</x:f>
        <x:v>18000</x:v>
      </x:c>
      <x:c r="L661" s="16" t="n">
        <x:f>IF(J661="Completed",K661*0.80,0)</x:f>
        <x:v>14400</x:v>
      </x:c>
      <x:c r="M661" t="n">
        <x:v>3.9</x:v>
      </x:c>
      <x:c r="N661" t="str">
        <x:v>No</x:v>
      </x:c>
      <x:c r="O661" t="str">
        <x:v>Customer Success</x:v>
      </x:c>
    </x:row>
    <x:row r="662">
      <x:c r="A662" t="str">
        <x:v>CRB5660</x:v>
      </x:c>
      <x:c r="B662" t="str">
        <x:v>2026-07-13</x:v>
      </x:c>
      <x:c r="C662" t="str">
        <x:v>Rahul Mehta</x:v>
      </x:c>
      <x:c r="D662" t="str">
        <x:v>u4169</x:v>
      </x:c>
      <x:c r="E662" t="str">
        <x:v>Direct</x:v>
      </x:c>
      <x:c r="F662" t="str">
        <x:v>Jaipur</x:v>
      </x:c>
      <x:c r="G662" t="str">
        <x:v>Warli Painting</x:v>
      </x:c>
      <x:c r="H662" t="n">
        <x:v>2</x:v>
      </x:c>
      <x:c r="I662" t="n">
        <x:v>1500</x:v>
      </x:c>
      <x:c r="J662" t="str">
        <x:v>Completed</x:v>
      </x:c>
      <x:c r="K662" t="n">
        <x:f>H662*I662</x:f>
        <x:v>3000</x:v>
      </x:c>
      <x:c r="L662" s="16" t="n">
        <x:f>IF(J662="Completed",K662*0.80,0)</x:f>
        <x:v>2400</x:v>
      </x:c>
      <x:c r="M662" t="n">
        <x:v>4.3</x:v>
      </x:c>
      <x:c r="N662" t="str">
        <x:v>No</x:v>
      </x:c>
      <x:c r="O662" t="str">
        <x:v>Customer Success</x:v>
      </x:c>
    </x:row>
    <x:row r="663">
      <x:c r="A663" t="str">
        <x:v>CRB5661</x:v>
      </x:c>
      <x:c r="B663" t="str">
        <x:v>2026-07-13</x:v>
      </x:c>
      <x:c r="C663" t="str">
        <x:v>Sofia Martinez</x:v>
      </x:c>
      <x:c r="D663" t="str">
        <x:v>u4173</x:v>
      </x:c>
      <x:c r="E663" t="str">
        <x:v>Direct</x:v>
      </x:c>
      <x:c r="F663" t="str">
        <x:v>Udaipur</x:v>
      </x:c>
      <x:c r="G663" t="str">
        <x:v>Weaving</x:v>
      </x:c>
      <x:c r="H663" t="n">
        <x:v>1</x:v>
      </x:c>
      <x:c r="I663" t="n">
        <x:v>1800</x:v>
      </x:c>
      <x:c r="J663" t="str">
        <x:v>Completed</x:v>
      </x:c>
      <x:c r="K663" t="n">
        <x:f>H663*I663</x:f>
        <x:v>1800</x:v>
      </x:c>
      <x:c r="L663" s="16" t="n">
        <x:f>IF(J663="Completed",K663*0.80,0)</x:f>
        <x:v>1440</x:v>
      </x:c>
      <x:c r="M663" t="n">
        <x:v>4.7</x:v>
      </x:c>
      <x:c r="N663" t="str">
        <x:v>No</x:v>
      </x:c>
      <x:c r="O663" t="str">
        <x:v>Traveler Success</x:v>
      </x:c>
    </x:row>
    <x:row r="664">
      <x:c r="A664" t="str">
        <x:v>CRB5662</x:v>
      </x:c>
      <x:c r="B664" t="str">
        <x:v>2026-07-13</x:v>
      </x:c>
      <x:c r="C664" t="str">
        <x:v>Rahul Mehta</x:v>
      </x:c>
      <x:c r="D664" t="str">
        <x:v>u4180</x:v>
      </x:c>
      <x:c r="E664" t="str">
        <x:v>Travel Blog</x:v>
      </x:c>
      <x:c r="F664" t="str">
        <x:v>Bangalore</x:v>
      </x:c>
      <x:c r="G664" t="str">
        <x:v>Pottery</x:v>
      </x:c>
      <x:c r="H664" t="n">
        <x:v>12</x:v>
      </x:c>
      <x:c r="I664" t="n">
        <x:v>3000</x:v>
      </x:c>
      <x:c r="J664" t="str">
        <x:v>Completed</x:v>
      </x:c>
      <x:c r="K664" t="n">
        <x:f>H664*I664</x:f>
        <x:v>36000</x:v>
      </x:c>
      <x:c r="L664" s="16" t="n">
        <x:f>IF(J664="Completed",K664*0.80,0)</x:f>
        <x:v>28800</x:v>
      </x:c>
      <x:c r="M664" t="n">
        <x:v>4.9</x:v>
      </x:c>
      <x:c r="N664" t="str">
        <x:v>No</x:v>
      </x:c>
      <x:c r="O664" t="str">
        <x:v>Revenue / Enterprise Team</x:v>
      </x:c>
    </x:row>
    <x:row r="665">
      <x:c r="A665" t="str">
        <x:v>CRB5663</x:v>
      </x:c>
      <x:c r="B665" t="str">
        <x:v>2026-07-13</x:v>
      </x:c>
      <x:c r="C665" t="str">
        <x:v>Priya Sharma</x:v>
      </x:c>
      <x:c r="D665" t="str">
        <x:v>u4185</x:v>
      </x:c>
      <x:c r="E665" t="str">
        <x:v>Direct</x:v>
      </x:c>
      <x:c r="F665" t="str">
        <x:v>Bangalore</x:v>
      </x:c>
      <x:c r="G665" t="str">
        <x:v>Weaving</x:v>
      </x:c>
      <x:c r="H665" t="n">
        <x:v>2</x:v>
      </x:c>
      <x:c r="I665" t="n">
        <x:v>3000</x:v>
      </x:c>
      <x:c r="J665" t="str">
        <x:v>Completed</x:v>
      </x:c>
      <x:c r="K665" t="n">
        <x:f>H665*I665</x:f>
        <x:v>6000</x:v>
      </x:c>
      <x:c r="L665" s="16" t="n">
        <x:f>IF(J665="Completed",K665*0.80,0)</x:f>
        <x:v>4800</x:v>
      </x:c>
      <x:c r="M665" t="n">
        <x:v>3.9</x:v>
      </x:c>
      <x:c r="N665" t="str">
        <x:v>Yes</x:v>
      </x:c>
      <x:c r="O665" t="str">
        <x:v>Customer Success</x:v>
      </x:c>
    </x:row>
    <x:row r="666">
      <x:c r="A666" t="str">
        <x:v>CRB5664</x:v>
      </x:c>
      <x:c r="B666" t="str">
        <x:v>2026-07-14</x:v>
      </x:c>
      <x:c r="C666" t="str">
        <x:v>Rahul Mehta</x:v>
      </x:c>
      <x:c r="D666" t="str">
        <x:v>u4192</x:v>
      </x:c>
      <x:c r="E666" t="str">
        <x:v>Travel Blog</x:v>
      </x:c>
      <x:c r="F666" t="str">
        <x:v>Udaipur</x:v>
      </x:c>
      <x:c r="G666" t="str">
        <x:v>Blue Pottery</x:v>
      </x:c>
      <x:c r="H666" t="n">
        <x:v>2</x:v>
      </x:c>
      <x:c r="I666" t="n">
        <x:v>2000</x:v>
      </x:c>
      <x:c r="J666" t="str">
        <x:v>Completed</x:v>
      </x:c>
      <x:c r="K666" t="n">
        <x:f>H666*I666</x:f>
        <x:v>4000</x:v>
      </x:c>
      <x:c r="L666" s="16" t="n">
        <x:f>IF(J666="Completed",K666*0.80,0)</x:f>
        <x:v>3200</x:v>
      </x:c>
      <x:c r="M666" t="n">
        <x:v>4.8</x:v>
      </x:c>
      <x:c r="N666" t="str">
        <x:v>Yes</x:v>
      </x:c>
      <x:c r="O666" t="str">
        <x:v>Revenue / Enterprise Team</x:v>
      </x:c>
    </x:row>
    <x:row r="667">
      <x:c r="A667" t="str">
        <x:v>CRB5665</x:v>
      </x:c>
      <x:c r="B667" t="str">
        <x:v>2026-07-14</x:v>
      </x:c>
      <x:c r="C667" t="str">
        <x:v>Rahul Mehta</x:v>
      </x:c>
      <x:c r="D667" t="str">
        <x:v>u4200</x:v>
      </x:c>
      <x:c r="E667" t="str">
        <x:v>Google Search</x:v>
      </x:c>
      <x:c r="F667" t="str">
        <x:v>Bangalore</x:v>
      </x:c>
      <x:c r="G667" t="str">
        <x:v>Weaving</x:v>
      </x:c>
      <x:c r="H667" t="n">
        <x:v>2</x:v>
      </x:c>
      <x:c r="I667" t="n">
        <x:v>3000</x:v>
      </x:c>
      <x:c r="J667" t="str">
        <x:v>Completed</x:v>
      </x:c>
      <x:c r="K667" t="n">
        <x:f>H667*I667</x:f>
        <x:v>6000</x:v>
      </x:c>
      <x:c r="L667" s="16" t="n">
        <x:f>IF(J667="Completed",K667*0.80,0)</x:f>
        <x:v>4800</x:v>
      </x:c>
      <x:c r="M667" t="n">
        <x:v>4.2</x:v>
      </x:c>
      <x:c r="N667" t="str">
        <x:v>Yes</x:v>
      </x:c>
      <x:c r="O667" t="str">
        <x:v>Customer Success</x:v>
      </x:c>
    </x:row>
    <x:row r="668">
      <x:c r="A668" t="str">
        <x:v>CRB5666</x:v>
      </x:c>
      <x:c r="B668" t="str">
        <x:v>2026-07-14</x:v>
      </x:c>
      <x:c r="C668" t="str">
        <x:v>Ananya Reddy</x:v>
      </x:c>
      <x:c r="D668" t="str">
        <x:v>u4202</x:v>
      </x:c>
      <x:c r="E668" t="str">
        <x:v>Google Search</x:v>
      </x:c>
      <x:c r="F668" t="str">
        <x:v>Jaipur</x:v>
      </x:c>
      <x:c r="G668" t="str">
        <x:v>Weaving</x:v>
      </x:c>
      <x:c r="H668" t="n">
        <x:v>3</x:v>
      </x:c>
      <x:c r="I668" t="n">
        <x:v>2500</x:v>
      </x:c>
      <x:c r="J668" t="str">
        <x:v>Completed</x:v>
      </x:c>
      <x:c r="K668" t="n">
        <x:f>H668*I668</x:f>
        <x:v>7500</x:v>
      </x:c>
      <x:c r="L668" s="16" t="n">
        <x:f>IF(J668="Completed",K668*0.80,0)</x:f>
        <x:v>6000</x:v>
      </x:c>
      <x:c r="M668" t="n">
        <x:v>3.9</x:v>
      </x:c>
      <x:c r="N668" t="str">
        <x:v>No</x:v>
      </x:c>
      <x:c r="O668" t="str">
        <x:v>Traveler Success</x:v>
      </x:c>
    </x:row>
    <x:row r="669">
      <x:c r="A669" t="str">
        <x:v>CRB5667</x:v>
      </x:c>
      <x:c r="B669" t="str">
        <x:v>2026-07-14</x:v>
      </x:c>
      <x:c r="C669" t="str">
        <x:v>Sofia Martinez</x:v>
      </x:c>
      <x:c r="D669" t="str">
        <x:v>u4203</x:v>
      </x:c>
      <x:c r="E669" t="str">
        <x:v>Direct</x:v>
      </x:c>
      <x:c r="F669" t="str">
        <x:v>Udaipur</x:v>
      </x:c>
      <x:c r="G669" t="str">
        <x:v>Block Printing</x:v>
      </x:c>
      <x:c r="H669" t="n">
        <x:v>4</x:v>
      </x:c>
      <x:c r="I669" t="n">
        <x:v>2500</x:v>
      </x:c>
      <x:c r="J669" t="str">
        <x:v>Completed</x:v>
      </x:c>
      <x:c r="K669" t="n">
        <x:f>H669*I669</x:f>
        <x:v>10000</x:v>
      </x:c>
      <x:c r="L669" s="16" t="n">
        <x:f>IF(J669="Completed",K669*0.80,0)</x:f>
        <x:v>8000</x:v>
      </x:c>
      <x:c r="M669" t="n">
        <x:v>4.7</x:v>
      </x:c>
      <x:c r="N669" t="str">
        <x:v>No</x:v>
      </x:c>
      <x:c r="O669" t="str">
        <x:v>Traveler Success</x:v>
      </x:c>
    </x:row>
    <x:row r="670">
      <x:c r="A670" t="str">
        <x:v>CRB5668</x:v>
      </x:c>
      <x:c r="B670" t="str">
        <x:v>2026-07-14</x:v>
      </x:c>
      <x:c r="C670" t="str">
        <x:v>Ananya Reddy</x:v>
      </x:c>
      <x:c r="D670" t="str">
        <x:v>u4206</x:v>
      </x:c>
      <x:c r="E670" t="str">
        <x:v>Google Search</x:v>
      </x:c>
      <x:c r="F670" t="str">
        <x:v>Varanasi</x:v>
      </x:c>
      <x:c r="G670" t="str">
        <x:v>Blue Pottery</x:v>
      </x:c>
      <x:c r="H670" t="n">
        <x:v>6</x:v>
      </x:c>
      <x:c r="I670" t="n">
        <x:v>1800</x:v>
      </x:c>
      <x:c r="J670" t="str">
        <x:v>Completed</x:v>
      </x:c>
      <x:c r="K670" t="n">
        <x:f>H670*I670</x:f>
        <x:v>10800</x:v>
      </x:c>
      <x:c r="L670" s="16" t="n">
        <x:f>IF(J670="Completed",K670*0.80,0)</x:f>
        <x:v>8640</x:v>
      </x:c>
      <x:c r="M670" t="n">
        <x:v>4.7</x:v>
      </x:c>
      <x:c r="N670" t="str">
        <x:v>No</x:v>
      </x:c>
      <x:c r="O670" t="str">
        <x:v>Customer Success</x:v>
      </x:c>
    </x:row>
    <x:row r="671">
      <x:c r="A671" t="str">
        <x:v>CRB5669</x:v>
      </x:c>
      <x:c r="B671" t="str">
        <x:v>2026-07-14</x:v>
      </x:c>
      <x:c r="C671" t="str">
        <x:v>Ananya Reddy</x:v>
      </x:c>
      <x:c r="D671" t="str">
        <x:v>u4208</x:v>
      </x:c>
      <x:c r="E671" t="str">
        <x:v>Instagram</x:v>
      </x:c>
      <x:c r="F671" t="str">
        <x:v>Udaipur</x:v>
      </x:c>
      <x:c r="G671" t="str">
        <x:v>Blue Pottery</x:v>
      </x:c>
      <x:c r="H671" t="n">
        <x:v>2</x:v>
      </x:c>
      <x:c r="I671" t="n">
        <x:v>3000</x:v>
      </x:c>
      <x:c r="J671" t="str">
        <x:v>Completed</x:v>
      </x:c>
      <x:c r="K671" t="n">
        <x:f>H671*I671</x:f>
        <x:v>6000</x:v>
      </x:c>
      <x:c r="L671" s="16" t="n">
        <x:f>IF(J671="Completed",K671*0.80,0)</x:f>
        <x:v>4800</x:v>
      </x:c>
      <x:c r="M671" t="n">
        <x:v>4.6</x:v>
      </x:c>
      <x:c r="N671" t="str">
        <x:v>No</x:v>
      </x:c>
      <x:c r="O671" t="str">
        <x:v>Customer Success</x:v>
      </x:c>
    </x:row>
    <x:row r="672">
      <x:c r="A672" t="str">
        <x:v>CRB5670</x:v>
      </x:c>
      <x:c r="B672" t="str">
        <x:v>2026-07-14</x:v>
      </x:c>
      <x:c r="C672" t="str">
        <x:v>Priya Sharma</x:v>
      </x:c>
      <x:c r="D672" t="str">
        <x:v>u4213</x:v>
      </x:c>
      <x:c r="E672" t="str">
        <x:v>Direct</x:v>
      </x:c>
      <x:c r="F672" t="str">
        <x:v>Varanasi</x:v>
      </x:c>
      <x:c r="G672" t="str">
        <x:v>Blue Pottery</x:v>
      </x:c>
      <x:c r="H672" t="n">
        <x:v>1</x:v>
      </x:c>
      <x:c r="I672" t="n">
        <x:v>3000</x:v>
      </x:c>
      <x:c r="J672" t="str">
        <x:v>Completed</x:v>
      </x:c>
      <x:c r="K672" t="n">
        <x:f>H672*I672</x:f>
        <x:v>3000</x:v>
      </x:c>
      <x:c r="L672" s="16" t="n">
        <x:f>IF(J672="Completed",K672*0.80,0)</x:f>
        <x:v>2400</x:v>
      </x:c>
      <x:c r="M672" t="n">
        <x:v>4.3</x:v>
      </x:c>
      <x:c r="N672" t="str">
        <x:v>No</x:v>
      </x:c>
      <x:c r="O672" t="str">
        <x:v>Revenue / Enterprise Team</x:v>
      </x:c>
    </x:row>
    <x:row r="673">
      <x:c r="A673" t="str">
        <x:v>CRB5671</x:v>
      </x:c>
      <x:c r="B673" t="str">
        <x:v>2026-07-14</x:v>
      </x:c>
      <x:c r="C673" t="str">
        <x:v>Sofia Martinez</x:v>
      </x:c>
      <x:c r="D673" t="str">
        <x:v>u4214</x:v>
      </x:c>
      <x:c r="E673" t="str">
        <x:v>Direct</x:v>
      </x:c>
      <x:c r="F673" t="str">
        <x:v>Udaipur</x:v>
      </x:c>
      <x:c r="G673" t="str">
        <x:v>Weaving</x:v>
      </x:c>
      <x:c r="H673" t="n">
        <x:v>4</x:v>
      </x:c>
      <x:c r="I673" t="n">
        <x:v>3500</x:v>
      </x:c>
      <x:c r="J673" t="str">
        <x:v>Completed</x:v>
      </x:c>
      <x:c r="K673" t="n">
        <x:f>H673*I673</x:f>
        <x:v>14000</x:v>
      </x:c>
      <x:c r="L673" s="16" t="n">
        <x:f>IF(J673="Completed",K673*0.80,0)</x:f>
        <x:v>11200</x:v>
      </x:c>
      <x:c r="M673" t="n">
        <x:v>4.7</x:v>
      </x:c>
      <x:c r="N673" t="str">
        <x:v>No</x:v>
      </x:c>
      <x:c r="O673" t="str">
        <x:v>Traveler Success</x:v>
      </x:c>
    </x:row>
    <x:row r="674">
      <x:c r="A674" t="str">
        <x:v>CRB5672</x:v>
      </x:c>
      <x:c r="B674" t="str">
        <x:v>2026-07-14</x:v>
      </x:c>
      <x:c r="C674" t="str">
        <x:v>Mark Thompson</x:v>
      </x:c>
      <x:c r="D674" t="str">
        <x:v>u4219</x:v>
      </x:c>
      <x:c r="E674" t="str">
        <x:v>Google Search</x:v>
      </x:c>
      <x:c r="F674" t="str">
        <x:v>Bangalore</x:v>
      </x:c>
      <x:c r="G674" t="str">
        <x:v>Warli Painting</x:v>
      </x:c>
      <x:c r="H674" t="n">
        <x:v>10</x:v>
      </x:c>
      <x:c r="I674" t="n">
        <x:v>1800</x:v>
      </x:c>
      <x:c r="J674" t="str">
        <x:v>Completed</x:v>
      </x:c>
      <x:c r="K674" t="n">
        <x:f>H674*I674</x:f>
        <x:v>18000</x:v>
      </x:c>
      <x:c r="L674" s="16" t="n">
        <x:f>IF(J674="Completed",K674*0.80,0)</x:f>
        <x:v>14400</x:v>
      </x:c>
      <x:c r="M674" t="n">
        <x:v>4.5</x:v>
      </x:c>
      <x:c r="N674" t="str">
        <x:v>No</x:v>
      </x:c>
      <x:c r="O674" t="str">
        <x:v>Revenue / Enterprise Team</x:v>
      </x:c>
    </x:row>
    <x:row r="675">
      <x:c r="A675" t="str">
        <x:v>CRB5673</x:v>
      </x:c>
      <x:c r="B675" t="str">
        <x:v>2026-07-14</x:v>
      </x:c>
      <x:c r="C675" t="str">
        <x:v>Ananya Reddy</x:v>
      </x:c>
      <x:c r="D675" t="str">
        <x:v>u4226</x:v>
      </x:c>
      <x:c r="E675" t="str">
        <x:v>Direct</x:v>
      </x:c>
      <x:c r="F675" t="str">
        <x:v>Udaipur</x:v>
      </x:c>
      <x:c r="G675" t="str">
        <x:v>Block Printing</x:v>
      </x:c>
      <x:c r="H675" t="n">
        <x:v>10</x:v>
      </x:c>
      <x:c r="I675" t="n">
        <x:v>1500</x:v>
      </x:c>
      <x:c r="J675" t="str">
        <x:v>No-show</x:v>
      </x:c>
      <x:c r="K675" t="n">
        <x:f>H675*I675</x:f>
        <x:v>15000</x:v>
      </x:c>
      <x:c r="L675" s="16" t="n">
        <x:f>IF(J675="Completed",K675*0.80,0)</x:f>
        <x:v>0</x:v>
      </x:c>
      <x:c r="M675" t="str"/>
      <x:c r="N675" t="str">
        <x:v>No</x:v>
      </x:c>
      <x:c r="O675" t="str">
        <x:v>Traveler Success</x:v>
      </x:c>
    </x:row>
    <x:row r="676">
      <x:c r="A676" t="str">
        <x:v>CRB5674</x:v>
      </x:c>
      <x:c r="B676" t="str">
        <x:v>2026-07-14</x:v>
      </x:c>
      <x:c r="C676" t="str">
        <x:v>Sofia Martinez</x:v>
      </x:c>
      <x:c r="D676" t="str">
        <x:v>u4233</x:v>
      </x:c>
      <x:c r="E676" t="str">
        <x:v>Referral</x:v>
      </x:c>
      <x:c r="F676" t="str">
        <x:v>Bangalore</x:v>
      </x:c>
      <x:c r="G676" t="str">
        <x:v>Block Printing</x:v>
      </x:c>
      <x:c r="H676" t="n">
        <x:v>4</x:v>
      </x:c>
      <x:c r="I676" t="n">
        <x:v>3500</x:v>
      </x:c>
      <x:c r="J676" t="str">
        <x:v>No-show</x:v>
      </x:c>
      <x:c r="K676" t="n">
        <x:f>H676*I676</x:f>
        <x:v>14000</x:v>
      </x:c>
      <x:c r="L676" s="16" t="n">
        <x:f>IF(J676="Completed",K676*0.80,0)</x:f>
        <x:v>0</x:v>
      </x:c>
      <x:c r="M676" t="str"/>
      <x:c r="N676" t="str">
        <x:v>No</x:v>
      </x:c>
      <x:c r="O676" t="str">
        <x:v>Customer Success</x:v>
      </x:c>
    </x:row>
    <x:row r="677">
      <x:c r="A677" t="str">
        <x:v>CRB5675</x:v>
      </x:c>
      <x:c r="B677" t="str">
        <x:v>2026-07-14</x:v>
      </x:c>
      <x:c r="C677" t="str">
        <x:v>Priya Sharma</x:v>
      </x:c>
      <x:c r="D677" t="str">
        <x:v>u4235</x:v>
      </x:c>
      <x:c r="E677" t="str">
        <x:v>Google Search</x:v>
      </x:c>
      <x:c r="F677" t="str">
        <x:v>Varanasi</x:v>
      </x:c>
      <x:c r="G677" t="str">
        <x:v>Warli Painting</x:v>
      </x:c>
      <x:c r="H677" t="n">
        <x:v>2</x:v>
      </x:c>
      <x:c r="I677" t="n">
        <x:v>2500</x:v>
      </x:c>
      <x:c r="J677" t="str">
        <x:v>Completed</x:v>
      </x:c>
      <x:c r="K677" t="n">
        <x:f>H677*I677</x:f>
        <x:v>5000</x:v>
      </x:c>
      <x:c r="L677" s="16" t="n">
        <x:f>IF(J677="Completed",K677*0.80,0)</x:f>
        <x:v>4000</x:v>
      </x:c>
      <x:c r="M677" t="n">
        <x:v>4.3</x:v>
      </x:c>
      <x:c r="N677" t="str">
        <x:v>No</x:v>
      </x:c>
      <x:c r="O677" t="str">
        <x:v>Traveler Success</x:v>
      </x:c>
    </x:row>
    <x:row r="678">
      <x:c r="A678" t="str">
        <x:v>CRB5676</x:v>
      </x:c>
      <x:c r="B678" t="str">
        <x:v>2026-07-14</x:v>
      </x:c>
      <x:c r="C678" t="str">
        <x:v>Mark Thompson</x:v>
      </x:c>
      <x:c r="D678" t="str">
        <x:v>u4249</x:v>
      </x:c>
      <x:c r="E678" t="str">
        <x:v>Referral</x:v>
      </x:c>
      <x:c r="F678" t="str">
        <x:v>Jaipur</x:v>
      </x:c>
      <x:c r="G678" t="str">
        <x:v>Blue Pottery</x:v>
      </x:c>
      <x:c r="H678" t="n">
        <x:v>6</x:v>
      </x:c>
      <x:c r="I678" t="n">
        <x:v>3000</x:v>
      </x:c>
      <x:c r="J678" t="str">
        <x:v>Completed</x:v>
      </x:c>
      <x:c r="K678" t="n">
        <x:f>H678*I678</x:f>
        <x:v>18000</x:v>
      </x:c>
      <x:c r="L678" s="16" t="n">
        <x:f>IF(J678="Completed",K678*0.80,0)</x:f>
        <x:v>14400</x:v>
      </x:c>
      <x:c r="M678" t="n">
        <x:v>4</x:v>
      </x:c>
      <x:c r="N678" t="str">
        <x:v>Yes</x:v>
      </x:c>
      <x:c r="O678" t="str">
        <x:v>Revenue / Enterprise Team</x:v>
      </x:c>
    </x:row>
    <x:row r="679">
      <x:c r="A679" t="str">
        <x:v>CRB5677</x:v>
      </x:c>
      <x:c r="B679" t="str">
        <x:v>2026-07-14</x:v>
      </x:c>
      <x:c r="C679" t="str">
        <x:v>Priya Sharma</x:v>
      </x:c>
      <x:c r="D679" t="str">
        <x:v>u4254</x:v>
      </x:c>
      <x:c r="E679" t="str">
        <x:v>Referral</x:v>
      </x:c>
      <x:c r="F679" t="str">
        <x:v>Bangalore</x:v>
      </x:c>
      <x:c r="G679" t="str">
        <x:v>Weaving</x:v>
      </x:c>
      <x:c r="H679" t="n">
        <x:v>2</x:v>
      </x:c>
      <x:c r="I679" t="n">
        <x:v>3000</x:v>
      </x:c>
      <x:c r="J679" t="str">
        <x:v>Completed</x:v>
      </x:c>
      <x:c r="K679" t="n">
        <x:f>H679*I679</x:f>
        <x:v>6000</x:v>
      </x:c>
      <x:c r="L679" s="16" t="n">
        <x:f>IF(J679="Completed",K679*0.80,0)</x:f>
        <x:v>4800</x:v>
      </x:c>
      <x:c r="M679" t="n">
        <x:v>3.9</x:v>
      </x:c>
      <x:c r="N679" t="str">
        <x:v>No</x:v>
      </x:c>
      <x:c r="O679" t="str">
        <x:v>Traveler Success</x:v>
      </x:c>
    </x:row>
    <x:row r="680">
      <x:c r="A680" t="str">
        <x:v>CRB5678</x:v>
      </x:c>
      <x:c r="B680" t="str">
        <x:v>2026-07-14</x:v>
      </x:c>
      <x:c r="C680" t="str">
        <x:v>Mark Thompson</x:v>
      </x:c>
      <x:c r="D680" t="str">
        <x:v>u4255</x:v>
      </x:c>
      <x:c r="E680" t="str">
        <x:v>Instagram</x:v>
      </x:c>
      <x:c r="F680" t="str">
        <x:v>Khurja</x:v>
      </x:c>
      <x:c r="G680" t="str">
        <x:v>Block Printing</x:v>
      </x:c>
      <x:c r="H680" t="n">
        <x:v>6</x:v>
      </x:c>
      <x:c r="I680" t="n">
        <x:v>3500</x:v>
      </x:c>
      <x:c r="J680" t="str">
        <x:v>Completed</x:v>
      </x:c>
      <x:c r="K680" t="n">
        <x:f>H680*I680</x:f>
        <x:v>21000</x:v>
      </x:c>
      <x:c r="L680" s="16" t="n">
        <x:f>IF(J680="Completed",K680*0.80,0)</x:f>
        <x:v>16800</x:v>
      </x:c>
      <x:c r="M680" t="n">
        <x:v>4.3</x:v>
      </x:c>
      <x:c r="N680" t="str">
        <x:v>No</x:v>
      </x:c>
      <x:c r="O680" t="str">
        <x:v>Revenue / Enterprise Team</x:v>
      </x:c>
    </x:row>
    <x:row r="681">
      <x:c r="A681" t="str">
        <x:v>CRB5679</x:v>
      </x:c>
      <x:c r="B681" t="str">
        <x:v>2026-07-14</x:v>
      </x:c>
      <x:c r="C681" t="str">
        <x:v>Mark Thompson</x:v>
      </x:c>
      <x:c r="D681" t="str">
        <x:v>u4256</x:v>
      </x:c>
      <x:c r="E681" t="str">
        <x:v>Google Search</x:v>
      </x:c>
      <x:c r="F681" t="str">
        <x:v>Khurja</x:v>
      </x:c>
      <x:c r="G681" t="str">
        <x:v>Warli Painting</x:v>
      </x:c>
      <x:c r="H681" t="n">
        <x:v>2</x:v>
      </x:c>
      <x:c r="I681" t="n">
        <x:v>1500</x:v>
      </x:c>
      <x:c r="J681" t="str">
        <x:v>Completed</x:v>
      </x:c>
      <x:c r="K681" t="n">
        <x:f>H681*I681</x:f>
        <x:v>3000</x:v>
      </x:c>
      <x:c r="L681" s="16" t="n">
        <x:f>IF(J681="Completed",K681*0.80,0)</x:f>
        <x:v>2400</x:v>
      </x:c>
      <x:c r="M681" t="n">
        <x:v>4.9</x:v>
      </x:c>
      <x:c r="N681" t="str">
        <x:v>No</x:v>
      </x:c>
      <x:c r="O681" t="str">
        <x:v>Customer Success</x:v>
      </x:c>
    </x:row>
    <x:row r="682">
      <x:c r="A682" t="str">
        <x:v>CRB5680</x:v>
      </x:c>
      <x:c r="B682" t="str">
        <x:v>2026-07-14</x:v>
      </x:c>
      <x:c r="C682" t="str">
        <x:v>Rahul Mehta</x:v>
      </x:c>
      <x:c r="D682" t="str">
        <x:v>u4259</x:v>
      </x:c>
      <x:c r="E682" t="str">
        <x:v>Referral</x:v>
      </x:c>
      <x:c r="F682" t="str">
        <x:v>Jaipur</x:v>
      </x:c>
      <x:c r="G682" t="str">
        <x:v>Pottery</x:v>
      </x:c>
      <x:c r="H682" t="n">
        <x:v>12</x:v>
      </x:c>
      <x:c r="I682" t="n">
        <x:v>2000</x:v>
      </x:c>
      <x:c r="J682" t="str">
        <x:v>Completed</x:v>
      </x:c>
      <x:c r="K682" t="n">
        <x:f>H682*I682</x:f>
        <x:v>24000</x:v>
      </x:c>
      <x:c r="L682" s="16" t="n">
        <x:f>IF(J682="Completed",K682*0.80,0)</x:f>
        <x:v>19200</x:v>
      </x:c>
      <x:c r="M682" t="n">
        <x:v>4.5</x:v>
      </x:c>
      <x:c r="N682" t="str">
        <x:v>No</x:v>
      </x:c>
      <x:c r="O682" t="str">
        <x:v>Revenue / Enterprise Team</x:v>
      </x:c>
    </x:row>
    <x:row r="683">
      <x:c r="A683" t="str">
        <x:v>CRB5681</x:v>
      </x:c>
      <x:c r="B683" t="str">
        <x:v>2026-07-14</x:v>
      </x:c>
      <x:c r="C683" t="str">
        <x:v>Sofia Martinez</x:v>
      </x:c>
      <x:c r="D683" t="str">
        <x:v>u4264</x:v>
      </x:c>
      <x:c r="E683" t="str">
        <x:v>Instagram</x:v>
      </x:c>
      <x:c r="F683" t="str">
        <x:v>Varanasi</x:v>
      </x:c>
      <x:c r="G683" t="str">
        <x:v>Block Printing</x:v>
      </x:c>
      <x:c r="H683" t="n">
        <x:v>12</x:v>
      </x:c>
      <x:c r="I683" t="n">
        <x:v>1500</x:v>
      </x:c>
      <x:c r="J683" t="str">
        <x:v>Completed</x:v>
      </x:c>
      <x:c r="K683" t="n">
        <x:f>H683*I683</x:f>
        <x:v>18000</x:v>
      </x:c>
      <x:c r="L683" s="16" t="n">
        <x:f>IF(J683="Completed",K683*0.80,0)</x:f>
        <x:v>14400</x:v>
      </x:c>
      <x:c r="M683" t="n">
        <x:v>4.7</x:v>
      </x:c>
      <x:c r="N683" t="str">
        <x:v>No</x:v>
      </x:c>
      <x:c r="O683" t="str">
        <x:v>Customer Success</x:v>
      </x:c>
    </x:row>
    <x:row r="684">
      <x:c r="A684" t="str">
        <x:v>CRB5682</x:v>
      </x:c>
      <x:c r="B684" t="str">
        <x:v>2026-07-14</x:v>
      </x:c>
      <x:c r="C684" t="str">
        <x:v>Ananya Reddy</x:v>
      </x:c>
      <x:c r="D684" t="str">
        <x:v>u4271</x:v>
      </x:c>
      <x:c r="E684" t="str">
        <x:v>Instagram</x:v>
      </x:c>
      <x:c r="F684" t="str">
        <x:v>Udaipur</x:v>
      </x:c>
      <x:c r="G684" t="str">
        <x:v>Blue Pottery</x:v>
      </x:c>
      <x:c r="H684" t="n">
        <x:v>10</x:v>
      </x:c>
      <x:c r="I684" t="n">
        <x:v>3000</x:v>
      </x:c>
      <x:c r="J684" t="str">
        <x:v>Completed</x:v>
      </x:c>
      <x:c r="K684" t="n">
        <x:f>H684*I684</x:f>
        <x:v>30000</x:v>
      </x:c>
      <x:c r="L684" s="16" t="n">
        <x:f>IF(J684="Completed",K684*0.80,0)</x:f>
        <x:v>24000</x:v>
      </x:c>
      <x:c r="M684" t="n">
        <x:v>3.9</x:v>
      </x:c>
      <x:c r="N684" t="str">
        <x:v>No</x:v>
      </x:c>
      <x:c r="O684" t="str">
        <x:v>Traveler Success</x:v>
      </x:c>
    </x:row>
    <x:row r="685">
      <x:c r="A685" t="str">
        <x:v>CRB5683</x:v>
      </x:c>
      <x:c r="B685" t="str">
        <x:v>2026-07-14</x:v>
      </x:c>
      <x:c r="C685" t="str">
        <x:v>Priya Sharma</x:v>
      </x:c>
      <x:c r="D685" t="str">
        <x:v>u4272</x:v>
      </x:c>
      <x:c r="E685" t="str">
        <x:v>Direct</x:v>
      </x:c>
      <x:c r="F685" t="str">
        <x:v>Udaipur</x:v>
      </x:c>
      <x:c r="G685" t="str">
        <x:v>Blue Pottery</x:v>
      </x:c>
      <x:c r="H685" t="n">
        <x:v>3</x:v>
      </x:c>
      <x:c r="I685" t="n">
        <x:v>2500</x:v>
      </x:c>
      <x:c r="J685" t="str">
        <x:v>Completed</x:v>
      </x:c>
      <x:c r="K685" t="n">
        <x:f>H685*I685</x:f>
        <x:v>7500</x:v>
      </x:c>
      <x:c r="L685" s="16" t="n">
        <x:f>IF(J685="Completed",K685*0.80,0)</x:f>
        <x:v>6000</x:v>
      </x:c>
      <x:c r="M685" t="n">
        <x:v>4.4</x:v>
      </x:c>
      <x:c r="N685" t="str">
        <x:v>No</x:v>
      </x:c>
      <x:c r="O685" t="str">
        <x:v>Revenue / Enterprise Team</x:v>
      </x:c>
    </x:row>
    <x:row r="686">
      <x:c r="A686" t="str">
        <x:v>CRB5684</x:v>
      </x:c>
      <x:c r="B686" t="str">
        <x:v>2026-07-14</x:v>
      </x:c>
      <x:c r="C686" t="str">
        <x:v>Priya Sharma</x:v>
      </x:c>
      <x:c r="D686" t="str">
        <x:v>u4282</x:v>
      </x:c>
      <x:c r="E686" t="str">
        <x:v>Google Search</x:v>
      </x:c>
      <x:c r="F686" t="str">
        <x:v>Bangalore</x:v>
      </x:c>
      <x:c r="G686" t="str">
        <x:v>Weaving</x:v>
      </x:c>
      <x:c r="H686" t="n">
        <x:v>10</x:v>
      </x:c>
      <x:c r="I686" t="n">
        <x:v>3000</x:v>
      </x:c>
      <x:c r="J686" t="str">
        <x:v>Completed</x:v>
      </x:c>
      <x:c r="K686" t="n">
        <x:f>H686*I686</x:f>
        <x:v>30000</x:v>
      </x:c>
      <x:c r="L686" s="16" t="n">
        <x:f>IF(J686="Completed",K686*0.80,0)</x:f>
        <x:v>24000</x:v>
      </x:c>
      <x:c r="M686" t="n">
        <x:v>4</x:v>
      </x:c>
      <x:c r="N686" t="str">
        <x:v>No</x:v>
      </x:c>
      <x:c r="O686" t="str">
        <x:v>Traveler Success</x:v>
      </x:c>
    </x:row>
    <x:row r="687">
      <x:c r="A687" t="str">
        <x:v>CRB5685</x:v>
      </x:c>
      <x:c r="B687" t="str">
        <x:v>2026-07-14</x:v>
      </x:c>
      <x:c r="C687" t="str">
        <x:v>Sofia Martinez</x:v>
      </x:c>
      <x:c r="D687" t="str">
        <x:v>u4283</x:v>
      </x:c>
      <x:c r="E687" t="str">
        <x:v>Google Search</x:v>
      </x:c>
      <x:c r="F687" t="str">
        <x:v>Udaipur</x:v>
      </x:c>
      <x:c r="G687" t="str">
        <x:v>Block Printing</x:v>
      </x:c>
      <x:c r="H687" t="n">
        <x:v>6</x:v>
      </x:c>
      <x:c r="I687" t="n">
        <x:v>3000</x:v>
      </x:c>
      <x:c r="J687" t="str">
        <x:v>Completed</x:v>
      </x:c>
      <x:c r="K687" t="n">
        <x:f>H687*I687</x:f>
        <x:v>18000</x:v>
      </x:c>
      <x:c r="L687" s="16" t="n">
        <x:f>IF(J687="Completed",K687*0.80,0)</x:f>
        <x:v>14400</x:v>
      </x:c>
      <x:c r="M687" t="n">
        <x:v>3.9</x:v>
      </x:c>
      <x:c r="N687" t="str">
        <x:v>Yes</x:v>
      </x:c>
      <x:c r="O687" t="str">
        <x:v>Customer Success</x:v>
      </x:c>
    </x:row>
    <x:row r="688">
      <x:c r="A688" t="str">
        <x:v>CRB5686</x:v>
      </x:c>
      <x:c r="B688" t="str">
        <x:v>2026-07-14</x:v>
      </x:c>
      <x:c r="C688" t="str">
        <x:v>Ananya Reddy</x:v>
      </x:c>
      <x:c r="D688" t="str">
        <x:v>u4286</x:v>
      </x:c>
      <x:c r="E688" t="str">
        <x:v>Direct</x:v>
      </x:c>
      <x:c r="F688" t="str">
        <x:v>Bangalore</x:v>
      </x:c>
      <x:c r="G688" t="str">
        <x:v>Pottery</x:v>
      </x:c>
      <x:c r="H688" t="n">
        <x:v>10</x:v>
      </x:c>
      <x:c r="I688" t="n">
        <x:v>2500</x:v>
      </x:c>
      <x:c r="J688" t="str">
        <x:v>Completed</x:v>
      </x:c>
      <x:c r="K688" t="n">
        <x:f>H688*I688</x:f>
        <x:v>25000</x:v>
      </x:c>
      <x:c r="L688" s="16" t="n">
        <x:f>IF(J688="Completed",K688*0.80,0)</x:f>
        <x:v>20000</x:v>
      </x:c>
      <x:c r="M688" t="n">
        <x:v>4.8</x:v>
      </x:c>
      <x:c r="N688" t="str">
        <x:v>Yes</x:v>
      </x:c>
      <x:c r="O688" t="str">
        <x:v>Traveler Success</x:v>
      </x:c>
    </x:row>
    <x:row r="689">
      <x:c r="A689" t="str">
        <x:v>CRB5687</x:v>
      </x:c>
      <x:c r="B689" t="str">
        <x:v>2026-07-14</x:v>
      </x:c>
      <x:c r="C689" t="str">
        <x:v>Sofia Martinez</x:v>
      </x:c>
      <x:c r="D689" t="str">
        <x:v>u4289</x:v>
      </x:c>
      <x:c r="E689" t="str">
        <x:v>Instagram</x:v>
      </x:c>
      <x:c r="F689" t="str">
        <x:v>Udaipur</x:v>
      </x:c>
      <x:c r="G689" t="str">
        <x:v>Warli Painting</x:v>
      </x:c>
      <x:c r="H689" t="n">
        <x:v>1</x:v>
      </x:c>
      <x:c r="I689" t="n">
        <x:v>1800</x:v>
      </x:c>
      <x:c r="J689" t="str">
        <x:v>Completed</x:v>
      </x:c>
      <x:c r="K689" t="n">
        <x:f>H689*I689</x:f>
        <x:v>1800</x:v>
      </x:c>
      <x:c r="L689" s="16" t="n">
        <x:f>IF(J689="Completed",K689*0.80,0)</x:f>
        <x:v>1440</x:v>
      </x:c>
      <x:c r="M689" t="n">
        <x:v>4.9</x:v>
      </x:c>
      <x:c r="N689" t="str">
        <x:v>Yes</x:v>
      </x:c>
      <x:c r="O689" t="str">
        <x:v>Customer Success</x:v>
      </x:c>
    </x:row>
    <x:row r="690">
      <x:c r="A690" t="str">
        <x:v>CRB5688</x:v>
      </x:c>
      <x:c r="B690" t="str">
        <x:v>2026-07-14</x:v>
      </x:c>
      <x:c r="C690" t="str">
        <x:v>Priya Sharma</x:v>
      </x:c>
      <x:c r="D690" t="str">
        <x:v>u4290</x:v>
      </x:c>
      <x:c r="E690" t="str">
        <x:v>Instagram</x:v>
      </x:c>
      <x:c r="F690" t="str">
        <x:v>Jaipur</x:v>
      </x:c>
      <x:c r="G690" t="str">
        <x:v>Weaving</x:v>
      </x:c>
      <x:c r="H690" t="n">
        <x:v>12</x:v>
      </x:c>
      <x:c r="I690" t="n">
        <x:v>1800</x:v>
      </x:c>
      <x:c r="J690" t="str">
        <x:v>Completed</x:v>
      </x:c>
      <x:c r="K690" t="n">
        <x:f>H690*I690</x:f>
        <x:v>21600</x:v>
      </x:c>
      <x:c r="L690" s="16" t="n">
        <x:f>IF(J690="Completed",K690*0.80,0)</x:f>
        <x:v>17280</x:v>
      </x:c>
      <x:c r="M690" t="n">
        <x:v>4.5</x:v>
      </x:c>
      <x:c r="N690" t="str">
        <x:v>No</x:v>
      </x:c>
      <x:c r="O690" t="str">
        <x:v>Traveler Success</x:v>
      </x:c>
    </x:row>
    <x:row r="691">
      <x:c r="A691" t="str">
        <x:v>CRB5689</x:v>
      </x:c>
      <x:c r="B691" t="str">
        <x:v>2026-07-14</x:v>
      </x:c>
      <x:c r="C691" t="str">
        <x:v>Mark Thompson</x:v>
      </x:c>
      <x:c r="D691" t="str">
        <x:v>u4291</x:v>
      </x:c>
      <x:c r="E691" t="str">
        <x:v>Direct</x:v>
      </x:c>
      <x:c r="F691" t="str">
        <x:v>Varanasi</x:v>
      </x:c>
      <x:c r="G691" t="str">
        <x:v>Blue Pottery</x:v>
      </x:c>
      <x:c r="H691" t="n">
        <x:v>3</x:v>
      </x:c>
      <x:c r="I691" t="n">
        <x:v>2500</x:v>
      </x:c>
      <x:c r="J691" t="str">
        <x:v>Completed</x:v>
      </x:c>
      <x:c r="K691" t="n">
        <x:f>H691*I691</x:f>
        <x:v>7500</x:v>
      </x:c>
      <x:c r="L691" s="16" t="n">
        <x:f>IF(J691="Completed",K691*0.80,0)</x:f>
        <x:v>6000</x:v>
      </x:c>
      <x:c r="M691" t="n">
        <x:v>4.9</x:v>
      </x:c>
      <x:c r="N691" t="str">
        <x:v>Yes</x:v>
      </x:c>
      <x:c r="O691" t="str">
        <x:v>Traveler Success</x:v>
      </x:c>
    </x:row>
    <x:row r="692">
      <x:c r="A692" t="str">
        <x:v>CRB5690</x:v>
      </x:c>
      <x:c r="B692" t="str">
        <x:v>2026-07-14</x:v>
      </x:c>
      <x:c r="C692" t="str">
        <x:v>Rahul Mehta</x:v>
      </x:c>
      <x:c r="D692" t="str">
        <x:v>u4293</x:v>
      </x:c>
      <x:c r="E692" t="str">
        <x:v>Instagram</x:v>
      </x:c>
      <x:c r="F692" t="str">
        <x:v>Bangalore</x:v>
      </x:c>
      <x:c r="G692" t="str">
        <x:v>Pottery</x:v>
      </x:c>
      <x:c r="H692" t="n">
        <x:v>2</x:v>
      </x:c>
      <x:c r="I692" t="n">
        <x:v>3500</x:v>
      </x:c>
      <x:c r="J692" t="str">
        <x:v>Completed</x:v>
      </x:c>
      <x:c r="K692" t="n">
        <x:f>H692*I692</x:f>
        <x:v>7000</x:v>
      </x:c>
      <x:c r="L692" s="16" t="n">
        <x:f>IF(J692="Completed",K692*0.80,0)</x:f>
        <x:v>5600</x:v>
      </x:c>
      <x:c r="M692" t="n">
        <x:v>3.9</x:v>
      </x:c>
      <x:c r="N692" t="str">
        <x:v>Yes</x:v>
      </x:c>
      <x:c r="O692" t="str">
        <x:v>Customer Success</x:v>
      </x:c>
    </x:row>
    <x:row r="693">
      <x:c r="A693" t="str">
        <x:v>CRB5691</x:v>
      </x:c>
      <x:c r="B693" t="str">
        <x:v>2026-07-14</x:v>
      </x:c>
      <x:c r="C693" t="str">
        <x:v>Sofia Martinez</x:v>
      </x:c>
      <x:c r="D693" t="str">
        <x:v>u4297</x:v>
      </x:c>
      <x:c r="E693" t="str">
        <x:v>Google Search</x:v>
      </x:c>
      <x:c r="F693" t="str">
        <x:v>Bangalore</x:v>
      </x:c>
      <x:c r="G693" t="str">
        <x:v>Weaving</x:v>
      </x:c>
      <x:c r="H693" t="n">
        <x:v>6</x:v>
      </x:c>
      <x:c r="I693" t="n">
        <x:v>1500</x:v>
      </x:c>
      <x:c r="J693" t="str">
        <x:v>Completed</x:v>
      </x:c>
      <x:c r="K693" t="n">
        <x:f>H693*I693</x:f>
        <x:v>9000</x:v>
      </x:c>
      <x:c r="L693" s="16" t="n">
        <x:f>IF(J693="Completed",K693*0.80,0)</x:f>
        <x:v>7200</x:v>
      </x:c>
      <x:c r="M693" t="n">
        <x:v>4.8</x:v>
      </x:c>
      <x:c r="N693" t="str">
        <x:v>No</x:v>
      </x:c>
      <x:c r="O693" t="str">
        <x:v>Traveler Success</x:v>
      </x:c>
    </x:row>
    <x:row r="694">
      <x:c r="A694" t="str">
        <x:v>CRB5692</x:v>
      </x:c>
      <x:c r="B694" t="str">
        <x:v>2026-07-14</x:v>
      </x:c>
      <x:c r="C694" t="str">
        <x:v>Ananya Reddy</x:v>
      </x:c>
      <x:c r="D694" t="str">
        <x:v>u4301</x:v>
      </x:c>
      <x:c r="E694" t="str">
        <x:v>Referral</x:v>
      </x:c>
      <x:c r="F694" t="str">
        <x:v>Varanasi</x:v>
      </x:c>
      <x:c r="G694" t="str">
        <x:v>Pottery</x:v>
      </x:c>
      <x:c r="H694" t="n">
        <x:v>1</x:v>
      </x:c>
      <x:c r="I694" t="n">
        <x:v>2500</x:v>
      </x:c>
      <x:c r="J694" t="str">
        <x:v>Completed</x:v>
      </x:c>
      <x:c r="K694" t="n">
        <x:f>H694*I694</x:f>
        <x:v>2500</x:v>
      </x:c>
      <x:c r="L694" s="16" t="n">
        <x:f>IF(J694="Completed",K694*0.80,0)</x:f>
        <x:v>2000</x:v>
      </x:c>
      <x:c r="M694" t="n">
        <x:v>4.2</x:v>
      </x:c>
      <x:c r="N694" t="str">
        <x:v>No</x:v>
      </x:c>
      <x:c r="O694" t="str">
        <x:v>Traveler Success</x:v>
      </x:c>
    </x:row>
    <x:row r="695">
      <x:c r="A695" t="str">
        <x:v>CRB5693</x:v>
      </x:c>
      <x:c r="B695" t="str">
        <x:v>2026-07-14</x:v>
      </x:c>
      <x:c r="C695" t="str">
        <x:v>Priya Sharma</x:v>
      </x:c>
      <x:c r="D695" t="str">
        <x:v>u4302</x:v>
      </x:c>
      <x:c r="E695" t="str">
        <x:v>Google Search</x:v>
      </x:c>
      <x:c r="F695" t="str">
        <x:v>Jaipur</x:v>
      </x:c>
      <x:c r="G695" t="str">
        <x:v>Pottery</x:v>
      </x:c>
      <x:c r="H695" t="n">
        <x:v>6</x:v>
      </x:c>
      <x:c r="I695" t="n">
        <x:v>3000</x:v>
      </x:c>
      <x:c r="J695" t="str">
        <x:v>Completed</x:v>
      </x:c>
      <x:c r="K695" t="n">
        <x:f>H695*I695</x:f>
        <x:v>18000</x:v>
      </x:c>
      <x:c r="L695" s="16" t="n">
        <x:f>IF(J695="Completed",K695*0.80,0)</x:f>
        <x:v>14400</x:v>
      </x:c>
      <x:c r="M695" t="n">
        <x:v>5</x:v>
      </x:c>
      <x:c r="N695" t="str">
        <x:v>No</x:v>
      </x:c>
      <x:c r="O695" t="str">
        <x:v>Customer Success</x:v>
      </x:c>
    </x:row>
    <x:row r="696">
      <x:c r="A696" t="str">
        <x:v>CRB5694</x:v>
      </x:c>
      <x:c r="B696" t="str">
        <x:v>2026-07-14</x:v>
      </x:c>
      <x:c r="C696" t="str">
        <x:v>Priya Sharma</x:v>
      </x:c>
      <x:c r="D696" t="str">
        <x:v>u4306</x:v>
      </x:c>
      <x:c r="E696" t="str">
        <x:v>Travel Blog</x:v>
      </x:c>
      <x:c r="F696" t="str">
        <x:v>Khurja</x:v>
      </x:c>
      <x:c r="G696" t="str">
        <x:v>Warli Painting</x:v>
      </x:c>
      <x:c r="H696" t="n">
        <x:v>6</x:v>
      </x:c>
      <x:c r="I696" t="n">
        <x:v>2500</x:v>
      </x:c>
      <x:c r="J696" t="str">
        <x:v>Completed</x:v>
      </x:c>
      <x:c r="K696" t="n">
        <x:f>H696*I696</x:f>
        <x:v>15000</x:v>
      </x:c>
      <x:c r="L696" s="16" t="n">
        <x:f>IF(J696="Completed",K696*0.80,0)</x:f>
        <x:v>12000</x:v>
      </x:c>
      <x:c r="M696" t="n">
        <x:v>4.6</x:v>
      </x:c>
      <x:c r="N696" t="str">
        <x:v>No</x:v>
      </x:c>
      <x:c r="O696" t="str">
        <x:v>Customer Success</x:v>
      </x:c>
    </x:row>
    <x:row r="697">
      <x:c r="A697" t="str">
        <x:v>CRB5695</x:v>
      </x:c>
      <x:c r="B697" t="str">
        <x:v>2026-07-14</x:v>
      </x:c>
      <x:c r="C697" t="str">
        <x:v>Ananya Reddy</x:v>
      </x:c>
      <x:c r="D697" t="str">
        <x:v>u4309</x:v>
      </x:c>
      <x:c r="E697" t="str">
        <x:v>Direct</x:v>
      </x:c>
      <x:c r="F697" t="str">
        <x:v>Khurja</x:v>
      </x:c>
      <x:c r="G697" t="str">
        <x:v>Block Printing</x:v>
      </x:c>
      <x:c r="H697" t="n">
        <x:v>3</x:v>
      </x:c>
      <x:c r="I697" t="n">
        <x:v>1500</x:v>
      </x:c>
      <x:c r="J697" t="str">
        <x:v>Completed</x:v>
      </x:c>
      <x:c r="K697" t="n">
        <x:f>H697*I697</x:f>
        <x:v>4500</x:v>
      </x:c>
      <x:c r="L697" s="16" t="n">
        <x:f>IF(J697="Completed",K697*0.80,0)</x:f>
        <x:v>3600</x:v>
      </x:c>
      <x:c r="M697" t="n">
        <x:v>4.2</x:v>
      </x:c>
      <x:c r="N697" t="str">
        <x:v>Yes</x:v>
      </x:c>
      <x:c r="O697" t="str">
        <x:v>Traveler Success</x:v>
      </x:c>
    </x:row>
    <x:row r="698">
      <x:c r="A698" t="str">
        <x:v>CRB5696</x:v>
      </x:c>
      <x:c r="B698" t="str">
        <x:v>2026-07-14</x:v>
      </x:c>
      <x:c r="C698" t="str">
        <x:v>Ananya Reddy</x:v>
      </x:c>
      <x:c r="D698" t="str">
        <x:v>u4310</x:v>
      </x:c>
      <x:c r="E698" t="str">
        <x:v>Travel Blog</x:v>
      </x:c>
      <x:c r="F698" t="str">
        <x:v>Khurja</x:v>
      </x:c>
      <x:c r="G698" t="str">
        <x:v>Warli Painting</x:v>
      </x:c>
      <x:c r="H698" t="n">
        <x:v>3</x:v>
      </x:c>
      <x:c r="I698" t="n">
        <x:v>2200</x:v>
      </x:c>
      <x:c r="J698" t="str">
        <x:v>Completed</x:v>
      </x:c>
      <x:c r="K698" t="n">
        <x:f>H698*I698</x:f>
        <x:v>6600</x:v>
      </x:c>
      <x:c r="L698" s="16" t="n">
        <x:f>IF(J698="Completed",K698*0.80,0)</x:f>
        <x:v>5280</x:v>
      </x:c>
      <x:c r="M698" t="n">
        <x:v>3.9</x:v>
      </x:c>
      <x:c r="N698" t="str">
        <x:v>No</x:v>
      </x:c>
      <x:c r="O698" t="str">
        <x:v>Customer Success</x:v>
      </x:c>
    </x:row>
    <x:row r="699">
      <x:c r="A699" t="str">
        <x:v>CRB5697</x:v>
      </x:c>
      <x:c r="B699" t="str">
        <x:v>2026-07-14</x:v>
      </x:c>
      <x:c r="C699" t="str">
        <x:v>Priya Sharma</x:v>
      </x:c>
      <x:c r="D699" t="str">
        <x:v>u4312</x:v>
      </x:c>
      <x:c r="E699" t="str">
        <x:v>Travel Blog</x:v>
      </x:c>
      <x:c r="F699" t="str">
        <x:v>Khurja</x:v>
      </x:c>
      <x:c r="G699" t="str">
        <x:v>Blue Pottery</x:v>
      </x:c>
      <x:c r="H699" t="n">
        <x:v>10</x:v>
      </x:c>
      <x:c r="I699" t="n">
        <x:v>2000</x:v>
      </x:c>
      <x:c r="J699" t="str">
        <x:v>Completed</x:v>
      </x:c>
      <x:c r="K699" t="n">
        <x:f>H699*I699</x:f>
        <x:v>20000</x:v>
      </x:c>
      <x:c r="L699" s="16" t="n">
        <x:f>IF(J699="Completed",K699*0.80,0)</x:f>
        <x:v>16000</x:v>
      </x:c>
      <x:c r="M699" t="n">
        <x:v>4</x:v>
      </x:c>
      <x:c r="N699" t="str">
        <x:v>No</x:v>
      </x:c>
      <x:c r="O699" t="str">
        <x:v>Traveler Success</x:v>
      </x:c>
    </x:row>
    <x:row r="700">
      <x:c r="A700" t="str">
        <x:v>CRB5698</x:v>
      </x:c>
      <x:c r="B700" t="str">
        <x:v>2026-07-14</x:v>
      </x:c>
      <x:c r="C700" t="str">
        <x:v>Priya Sharma</x:v>
      </x:c>
      <x:c r="D700" t="str">
        <x:v>u4314</x:v>
      </x:c>
      <x:c r="E700" t="str">
        <x:v>Direct</x:v>
      </x:c>
      <x:c r="F700" t="str">
        <x:v>Varanasi</x:v>
      </x:c>
      <x:c r="G700" t="str">
        <x:v>Weaving</x:v>
      </x:c>
      <x:c r="H700" t="n">
        <x:v>2</x:v>
      </x:c>
      <x:c r="I700" t="n">
        <x:v>1500</x:v>
      </x:c>
      <x:c r="J700" t="str">
        <x:v>Completed</x:v>
      </x:c>
      <x:c r="K700" t="n">
        <x:f>H700*I700</x:f>
        <x:v>3000</x:v>
      </x:c>
      <x:c r="L700" s="16" t="n">
        <x:f>IF(J700="Completed",K700*0.80,0)</x:f>
        <x:v>2400</x:v>
      </x:c>
      <x:c r="M700" t="n">
        <x:v>4.2</x:v>
      </x:c>
      <x:c r="N700" t="str">
        <x:v>No</x:v>
      </x:c>
      <x:c r="O700" t="str">
        <x:v>Traveler Success</x:v>
      </x:c>
    </x:row>
    <x:row r="701">
      <x:c r="A701" t="str">
        <x:v>CRB5699</x:v>
      </x:c>
      <x:c r="B701" t="str">
        <x:v>2026-07-14</x:v>
      </x:c>
      <x:c r="C701" t="str">
        <x:v>Rahul Mehta</x:v>
      </x:c>
      <x:c r="D701" t="str">
        <x:v>u4318</x:v>
      </x:c>
      <x:c r="E701" t="str">
        <x:v>Google Search</x:v>
      </x:c>
      <x:c r="F701" t="str">
        <x:v>Varanasi</x:v>
      </x:c>
      <x:c r="G701" t="str">
        <x:v>Weaving</x:v>
      </x:c>
      <x:c r="H701" t="n">
        <x:v>3</x:v>
      </x:c>
      <x:c r="I701" t="n">
        <x:v>3000</x:v>
      </x:c>
      <x:c r="J701" t="str">
        <x:v>Completed</x:v>
      </x:c>
      <x:c r="K701" t="n">
        <x:f>H701*I701</x:f>
        <x:v>9000</x:v>
      </x:c>
      <x:c r="L701" s="16" t="n">
        <x:f>IF(J701="Completed",K701*0.80,0)</x:f>
        <x:v>7200</x:v>
      </x:c>
      <x:c r="M701" t="n">
        <x:v>4.6</x:v>
      </x:c>
      <x:c r="N701" t="str">
        <x:v>Yes</x:v>
      </x:c>
      <x:c r="O701" t="str">
        <x:v>Revenue / Enterprise Team</x:v>
      </x:c>
    </x:row>
    <x:row r="702">
      <x:c r="A702" t="str">
        <x:v>CRB5700</x:v>
      </x:c>
      <x:c r="B702" t="str">
        <x:v>2026-07-14</x:v>
      </x:c>
      <x:c r="C702" t="str">
        <x:v>Mark Thompson</x:v>
      </x:c>
      <x:c r="D702" t="str">
        <x:v>u4327</x:v>
      </x:c>
      <x:c r="E702" t="str">
        <x:v>Travel Blog</x:v>
      </x:c>
      <x:c r="F702" t="str">
        <x:v>Khurja</x:v>
      </x:c>
      <x:c r="G702" t="str">
        <x:v>Blue Pottery</x:v>
      </x:c>
      <x:c r="H702" t="n">
        <x:v>10</x:v>
      </x:c>
      <x:c r="I702" t="n">
        <x:v>2200</x:v>
      </x:c>
      <x:c r="J702" t="str">
        <x:v>Completed</x:v>
      </x:c>
      <x:c r="K702" t="n">
        <x:f>H702*I702</x:f>
        <x:v>22000</x:v>
      </x:c>
      <x:c r="L702" s="16" t="n">
        <x:f>IF(J702="Completed",K702*0.80,0)</x:f>
        <x:v>17600</x:v>
      </x:c>
      <x:c r="M702" t="n">
        <x:v>4</x:v>
      </x:c>
      <x:c r="N702" t="str">
        <x:v>No</x:v>
      </x:c>
      <x:c r="O702" t="str">
        <x:v>Revenue / Enterprise Team</x:v>
      </x:c>
    </x:row>
    <x:row r="703">
      <x:c r="A703" t="str">
        <x:v>CRB5701</x:v>
      </x:c>
      <x:c r="B703" t="str">
        <x:v>2026-07-14</x:v>
      </x:c>
      <x:c r="C703" t="str">
        <x:v>Sofia Martinez</x:v>
      </x:c>
      <x:c r="D703" t="str">
        <x:v>u4333</x:v>
      </x:c>
      <x:c r="E703" t="str">
        <x:v>Instagram</x:v>
      </x:c>
      <x:c r="F703" t="str">
        <x:v>Khurja</x:v>
      </x:c>
      <x:c r="G703" t="str">
        <x:v>Pottery</x:v>
      </x:c>
      <x:c r="H703" t="n">
        <x:v>2</x:v>
      </x:c>
      <x:c r="I703" t="n">
        <x:v>2500</x:v>
      </x:c>
      <x:c r="J703" t="str">
        <x:v>Completed</x:v>
      </x:c>
      <x:c r="K703" t="n">
        <x:f>H703*I703</x:f>
        <x:v>5000</x:v>
      </x:c>
      <x:c r="L703" s="16" t="n">
        <x:f>IF(J703="Completed",K703*0.80,0)</x:f>
        <x:v>4000</x:v>
      </x:c>
      <x:c r="M703" t="n">
        <x:v>4.6</x:v>
      </x:c>
      <x:c r="N703" t="str">
        <x:v>No</x:v>
      </x:c>
      <x:c r="O703" t="str">
        <x:v>Traveler Success</x:v>
      </x:c>
    </x:row>
    <x:row r="704">
      <x:c r="A704" t="str">
        <x:v>CRB5702</x:v>
      </x:c>
      <x:c r="B704" t="str">
        <x:v>2026-07-14</x:v>
      </x:c>
      <x:c r="C704" t="str">
        <x:v>Priya Sharma</x:v>
      </x:c>
      <x:c r="D704" t="str">
        <x:v>u4335</x:v>
      </x:c>
      <x:c r="E704" t="str">
        <x:v>Referral</x:v>
      </x:c>
      <x:c r="F704" t="str">
        <x:v>Jaipur</x:v>
      </x:c>
      <x:c r="G704" t="str">
        <x:v>Warli Painting</x:v>
      </x:c>
      <x:c r="H704" t="n">
        <x:v>4</x:v>
      </x:c>
      <x:c r="I704" t="n">
        <x:v>3000</x:v>
      </x:c>
      <x:c r="J704" t="str">
        <x:v>Completed</x:v>
      </x:c>
      <x:c r="K704" t="n">
        <x:f>H704*I704</x:f>
        <x:v>12000</x:v>
      </x:c>
      <x:c r="L704" s="16" t="n">
        <x:f>IF(J704="Completed",K704*0.80,0)</x:f>
        <x:v>9600</x:v>
      </x:c>
      <x:c r="M704" t="n">
        <x:v>4.5</x:v>
      </x:c>
      <x:c r="N704" t="str">
        <x:v>Yes</x:v>
      </x:c>
      <x:c r="O704" t="str">
        <x:v>Revenue / Enterprise Team</x:v>
      </x:c>
    </x:row>
    <x:row r="705">
      <x:c r="A705" t="str">
        <x:v>CRB5703</x:v>
      </x:c>
      <x:c r="B705" t="str">
        <x:v>2026-07-14</x:v>
      </x:c>
      <x:c r="C705" t="str">
        <x:v>Sofia Martinez</x:v>
      </x:c>
      <x:c r="D705" t="str">
        <x:v>u4338</x:v>
      </x:c>
      <x:c r="E705" t="str">
        <x:v>Instagram</x:v>
      </x:c>
      <x:c r="F705" t="str">
        <x:v>Bangalore</x:v>
      </x:c>
      <x:c r="G705" t="str">
        <x:v>Pottery</x:v>
      </x:c>
      <x:c r="H705" t="n">
        <x:v>1</x:v>
      </x:c>
      <x:c r="I705" t="n">
        <x:v>2500</x:v>
      </x:c>
      <x:c r="J705" t="str">
        <x:v>Completed</x:v>
      </x:c>
      <x:c r="K705" t="n">
        <x:f>H705*I705</x:f>
        <x:v>2500</x:v>
      </x:c>
      <x:c r="L705" s="16" t="n">
        <x:f>IF(J705="Completed",K705*0.80,0)</x:f>
        <x:v>2000</x:v>
      </x:c>
      <x:c r="M705" t="n">
        <x:v>3.8</x:v>
      </x:c>
      <x:c r="N705" t="str">
        <x:v>No</x:v>
      </x:c>
      <x:c r="O705" t="str">
        <x:v>Customer Success</x:v>
      </x:c>
    </x:row>
    <x:row r="706">
      <x:c r="A706" t="str">
        <x:v>CRB5704</x:v>
      </x:c>
      <x:c r="B706" t="str">
        <x:v>2026-07-14</x:v>
      </x:c>
      <x:c r="C706" t="str">
        <x:v>Ananya Reddy</x:v>
      </x:c>
      <x:c r="D706" t="str">
        <x:v>u4341</x:v>
      </x:c>
      <x:c r="E706" t="str">
        <x:v>Referral</x:v>
      </x:c>
      <x:c r="F706" t="str">
        <x:v>Jaipur</x:v>
      </x:c>
      <x:c r="G706" t="str">
        <x:v>Block Printing</x:v>
      </x:c>
      <x:c r="H706" t="n">
        <x:v>4</x:v>
      </x:c>
      <x:c r="I706" t="n">
        <x:v>2200</x:v>
      </x:c>
      <x:c r="J706" t="str">
        <x:v>Completed</x:v>
      </x:c>
      <x:c r="K706" t="n">
        <x:f>H706*I706</x:f>
        <x:v>8800</x:v>
      </x:c>
      <x:c r="L706" s="16" t="n">
        <x:f>IF(J706="Completed",K706*0.80,0)</x:f>
        <x:v>7040</x:v>
      </x:c>
      <x:c r="M706" t="n">
        <x:v>4.6</x:v>
      </x:c>
      <x:c r="N706" t="str">
        <x:v>Yes</x:v>
      </x:c>
      <x:c r="O706" t="str">
        <x:v>Traveler Success</x:v>
      </x:c>
    </x:row>
    <x:row r="707">
      <x:c r="A707" t="str">
        <x:v>CRB5705</x:v>
      </x:c>
      <x:c r="B707" t="str">
        <x:v>2026-07-14</x:v>
      </x:c>
      <x:c r="C707" t="str">
        <x:v>Sofia Martinez</x:v>
      </x:c>
      <x:c r="D707" t="str">
        <x:v>u4345</x:v>
      </x:c>
      <x:c r="E707" t="str">
        <x:v>Referral</x:v>
      </x:c>
      <x:c r="F707" t="str">
        <x:v>Varanasi</x:v>
      </x:c>
      <x:c r="G707" t="str">
        <x:v>Block Printing</x:v>
      </x:c>
      <x:c r="H707" t="n">
        <x:v>12</x:v>
      </x:c>
      <x:c r="I707" t="n">
        <x:v>3000</x:v>
      </x:c>
      <x:c r="J707" t="str">
        <x:v>Completed</x:v>
      </x:c>
      <x:c r="K707" t="n">
        <x:f>H707*I707</x:f>
        <x:v>36000</x:v>
      </x:c>
      <x:c r="L707" s="16" t="n">
        <x:f>IF(J707="Completed",K707*0.80,0)</x:f>
        <x:v>28800</x:v>
      </x:c>
      <x:c r="M707" t="n">
        <x:v>4.4</x:v>
      </x:c>
      <x:c r="N707" t="str">
        <x:v>Yes</x:v>
      </x:c>
      <x:c r="O707" t="str">
        <x:v>Customer Success</x:v>
      </x:c>
    </x:row>
    <x:row r="708">
      <x:c r="A708" t="str">
        <x:v>CRB5706</x:v>
      </x:c>
      <x:c r="B708" t="str">
        <x:v>2026-07-14</x:v>
      </x:c>
      <x:c r="C708" t="str">
        <x:v>Ananya Reddy</x:v>
      </x:c>
      <x:c r="D708" t="str">
        <x:v>u4348</x:v>
      </x:c>
      <x:c r="E708" t="str">
        <x:v>Referral</x:v>
      </x:c>
      <x:c r="F708" t="str">
        <x:v>Jaipur</x:v>
      </x:c>
      <x:c r="G708" t="str">
        <x:v>Warli Painting</x:v>
      </x:c>
      <x:c r="H708" t="n">
        <x:v>12</x:v>
      </x:c>
      <x:c r="I708" t="n">
        <x:v>2500</x:v>
      </x:c>
      <x:c r="J708" t="str">
        <x:v>Completed</x:v>
      </x:c>
      <x:c r="K708" t="n">
        <x:f>H708*I708</x:f>
        <x:v>30000</x:v>
      </x:c>
      <x:c r="L708" s="16" t="n">
        <x:f>IF(J708="Completed",K708*0.80,0)</x:f>
        <x:v>24000</x:v>
      </x:c>
      <x:c r="M708" t="n">
        <x:v>4.2</x:v>
      </x:c>
      <x:c r="N708" t="str">
        <x:v>Yes</x:v>
      </x:c>
      <x:c r="O708" t="str">
        <x:v>Traveler Success</x:v>
      </x:c>
    </x:row>
    <x:row r="709">
      <x:c r="A709" t="str">
        <x:v>CRB5707</x:v>
      </x:c>
      <x:c r="B709" t="str">
        <x:v>2026-07-14</x:v>
      </x:c>
      <x:c r="C709" t="str">
        <x:v>Ananya Reddy</x:v>
      </x:c>
      <x:c r="D709" t="str">
        <x:v>u4349</x:v>
      </x:c>
      <x:c r="E709" t="str">
        <x:v>Referral</x:v>
      </x:c>
      <x:c r="F709" t="str">
        <x:v>Bangalore</x:v>
      </x:c>
      <x:c r="G709" t="str">
        <x:v>Pottery</x:v>
      </x:c>
      <x:c r="H709" t="n">
        <x:v>12</x:v>
      </x:c>
      <x:c r="I709" t="n">
        <x:v>1800</x:v>
      </x:c>
      <x:c r="J709" t="str">
        <x:v>Completed</x:v>
      </x:c>
      <x:c r="K709" t="n">
        <x:f>H709*I709</x:f>
        <x:v>21600</x:v>
      </x:c>
      <x:c r="L709" s="16" t="n">
        <x:f>IF(J709="Completed",K709*0.80,0)</x:f>
        <x:v>17280</x:v>
      </x:c>
      <x:c r="M709" t="n">
        <x:v>4.7</x:v>
      </x:c>
      <x:c r="N709" t="str">
        <x:v>No</x:v>
      </x:c>
      <x:c r="O709" t="str">
        <x:v>Revenue / Enterprise Team</x:v>
      </x:c>
    </x:row>
    <x:row r="710">
      <x:c r="A710" t="str">
        <x:v>CRB5708</x:v>
      </x:c>
      <x:c r="B710" t="str">
        <x:v>2026-07-14</x:v>
      </x:c>
      <x:c r="C710" t="str">
        <x:v>Ananya Reddy</x:v>
      </x:c>
      <x:c r="D710" t="str">
        <x:v>u4350</x:v>
      </x:c>
      <x:c r="E710" t="str">
        <x:v>Referral</x:v>
      </x:c>
      <x:c r="F710" t="str">
        <x:v>Udaipur</x:v>
      </x:c>
      <x:c r="G710" t="str">
        <x:v>Warli Painting</x:v>
      </x:c>
      <x:c r="H710" t="n">
        <x:v>4</x:v>
      </x:c>
      <x:c r="I710" t="n">
        <x:v>3500</x:v>
      </x:c>
      <x:c r="J710" t="str">
        <x:v>Completed</x:v>
      </x:c>
      <x:c r="K710" t="n">
        <x:f>H710*I710</x:f>
        <x:v>14000</x:v>
      </x:c>
      <x:c r="L710" s="16" t="n">
        <x:f>IF(J710="Completed",K710*0.80,0)</x:f>
        <x:v>11200</x:v>
      </x:c>
      <x:c r="M710" t="n">
        <x:v>4.3</x:v>
      </x:c>
      <x:c r="N710" t="str">
        <x:v>No</x:v>
      </x:c>
      <x:c r="O710" t="str">
        <x:v>Revenue / Enterprise Team</x:v>
      </x:c>
    </x:row>
    <x:row r="711">
      <x:c r="A711" t="str">
        <x:v>CRB5709</x:v>
      </x:c>
      <x:c r="B711" t="str">
        <x:v>2026-07-14</x:v>
      </x:c>
      <x:c r="C711" t="str">
        <x:v>Mark Thompson</x:v>
      </x:c>
      <x:c r="D711" t="str">
        <x:v>u4351</x:v>
      </x:c>
      <x:c r="E711" t="str">
        <x:v>Direct</x:v>
      </x:c>
      <x:c r="F711" t="str">
        <x:v>Jaipur</x:v>
      </x:c>
      <x:c r="G711" t="str">
        <x:v>Weaving</x:v>
      </x:c>
      <x:c r="H711" t="n">
        <x:v>4</x:v>
      </x:c>
      <x:c r="I711" t="n">
        <x:v>1500</x:v>
      </x:c>
      <x:c r="J711" t="str">
        <x:v>Completed</x:v>
      </x:c>
      <x:c r="K711" t="n">
        <x:f>H711*I711</x:f>
        <x:v>6000</x:v>
      </x:c>
      <x:c r="L711" s="16" t="n">
        <x:f>IF(J711="Completed",K711*0.80,0)</x:f>
        <x:v>4800</x:v>
      </x:c>
      <x:c r="M711" t="n">
        <x:v>3.8</x:v>
      </x:c>
      <x:c r="N711" t="str">
        <x:v>No</x:v>
      </x:c>
      <x:c r="O711" t="str">
        <x:v>Revenue / Enterprise Team</x:v>
      </x:c>
    </x:row>
    <x:row r="712">
      <x:c r="A712" t="str">
        <x:v>CRB5710</x:v>
      </x:c>
      <x:c r="B712" t="str">
        <x:v>2026-07-14</x:v>
      </x:c>
      <x:c r="C712" t="str">
        <x:v>Priya Sharma</x:v>
      </x:c>
      <x:c r="D712" t="str">
        <x:v>u4352</x:v>
      </x:c>
      <x:c r="E712" t="str">
        <x:v>Referral</x:v>
      </x:c>
      <x:c r="F712" t="str">
        <x:v>Varanasi</x:v>
      </x:c>
      <x:c r="G712" t="str">
        <x:v>Blue Pottery</x:v>
      </x:c>
      <x:c r="H712" t="n">
        <x:v>4</x:v>
      </x:c>
      <x:c r="I712" t="n">
        <x:v>1800</x:v>
      </x:c>
      <x:c r="J712" t="str">
        <x:v>Completed</x:v>
      </x:c>
      <x:c r="K712" t="n">
        <x:f>H712*I712</x:f>
        <x:v>7200</x:v>
      </x:c>
      <x:c r="L712" s="16" t="n">
        <x:f>IF(J712="Completed",K712*0.80,0)</x:f>
        <x:v>5760</x:v>
      </x:c>
      <x:c r="M712" t="n">
        <x:v>3.8</x:v>
      </x:c>
      <x:c r="N712" t="str">
        <x:v>No</x:v>
      </x:c>
      <x:c r="O712" t="str">
        <x:v>Customer Success</x:v>
      </x:c>
    </x:row>
    <x:row r="713">
      <x:c r="A713" t="str">
        <x:v>CRB5711</x:v>
      </x:c>
      <x:c r="B713" t="str">
        <x:v>2026-07-14</x:v>
      </x:c>
      <x:c r="C713" t="str">
        <x:v>Rahul Mehta</x:v>
      </x:c>
      <x:c r="D713" t="str">
        <x:v>u4353</x:v>
      </x:c>
      <x:c r="E713" t="str">
        <x:v>Direct</x:v>
      </x:c>
      <x:c r="F713" t="str">
        <x:v>Jaipur</x:v>
      </x:c>
      <x:c r="G713" t="str">
        <x:v>Weaving</x:v>
      </x:c>
      <x:c r="H713" t="n">
        <x:v>10</x:v>
      </x:c>
      <x:c r="I713" t="n">
        <x:v>3000</x:v>
      </x:c>
      <x:c r="J713" t="str">
        <x:v>Completed</x:v>
      </x:c>
      <x:c r="K713" t="n">
        <x:f>H713*I713</x:f>
        <x:v>30000</x:v>
      </x:c>
      <x:c r="L713" s="16" t="n">
        <x:f>IF(J713="Completed",K713*0.80,0)</x:f>
        <x:v>24000</x:v>
      </x:c>
      <x:c r="M713" t="n">
        <x:v>4.4</x:v>
      </x:c>
      <x:c r="N713" t="str">
        <x:v>No</x:v>
      </x:c>
      <x:c r="O713" t="str">
        <x:v>Customer Success</x:v>
      </x:c>
    </x:row>
    <x:row r="714">
      <x:c r="A714" t="str">
        <x:v>CRB5712</x:v>
      </x:c>
      <x:c r="B714" t="str">
        <x:v>2026-07-14</x:v>
      </x:c>
      <x:c r="C714" t="str">
        <x:v>Rahul Mehta</x:v>
      </x:c>
      <x:c r="D714" t="str">
        <x:v>u4355</x:v>
      </x:c>
      <x:c r="E714" t="str">
        <x:v>Direct</x:v>
      </x:c>
      <x:c r="F714" t="str">
        <x:v>Udaipur</x:v>
      </x:c>
      <x:c r="G714" t="str">
        <x:v>Weaving</x:v>
      </x:c>
      <x:c r="H714" t="n">
        <x:v>12</x:v>
      </x:c>
      <x:c r="I714" t="n">
        <x:v>1800</x:v>
      </x:c>
      <x:c r="J714" t="str">
        <x:v>Completed</x:v>
      </x:c>
      <x:c r="K714" t="n">
        <x:f>H714*I714</x:f>
        <x:v>21600</x:v>
      </x:c>
      <x:c r="L714" s="16" t="n">
        <x:f>IF(J714="Completed",K714*0.80,0)</x:f>
        <x:v>17280</x:v>
      </x:c>
      <x:c r="M714" t="n">
        <x:v>4.1</x:v>
      </x:c>
      <x:c r="N714" t="str">
        <x:v>Yes</x:v>
      </x:c>
      <x:c r="O714" t="str">
        <x:v>Customer Success</x:v>
      </x:c>
    </x:row>
    <x:row r="715">
      <x:c r="A715" t="str">
        <x:v>CRB5713</x:v>
      </x:c>
      <x:c r="B715" t="str">
        <x:v>2026-07-14</x:v>
      </x:c>
      <x:c r="C715" t="str">
        <x:v>Mark Thompson</x:v>
      </x:c>
      <x:c r="D715" t="str">
        <x:v>u4357</x:v>
      </x:c>
      <x:c r="E715" t="str">
        <x:v>Direct</x:v>
      </x:c>
      <x:c r="F715" t="str">
        <x:v>Bangalore</x:v>
      </x:c>
      <x:c r="G715" t="str">
        <x:v>Block Printing</x:v>
      </x:c>
      <x:c r="H715" t="n">
        <x:v>2</x:v>
      </x:c>
      <x:c r="I715" t="n">
        <x:v>2500</x:v>
      </x:c>
      <x:c r="J715" t="str">
        <x:v>Completed</x:v>
      </x:c>
      <x:c r="K715" t="n">
        <x:f>H715*I715</x:f>
        <x:v>5000</x:v>
      </x:c>
      <x:c r="L715" s="16" t="n">
        <x:f>IF(J715="Completed",K715*0.80,0)</x:f>
        <x:v>4000</x:v>
      </x:c>
      <x:c r="M715" t="n">
        <x:v>4.4</x:v>
      </x:c>
      <x:c r="N715" t="str">
        <x:v>Yes</x:v>
      </x:c>
      <x:c r="O715" t="str">
        <x:v>Revenue / Enterprise Team</x:v>
      </x:c>
    </x:row>
    <x:row r="716">
      <x:c r="A716" t="str">
        <x:v>CRB5714</x:v>
      </x:c>
      <x:c r="B716" t="str">
        <x:v>2026-07-14</x:v>
      </x:c>
      <x:c r="C716" t="str">
        <x:v>Rahul Mehta</x:v>
      </x:c>
      <x:c r="D716" t="str">
        <x:v>u4363</x:v>
      </x:c>
      <x:c r="E716" t="str">
        <x:v>Instagram</x:v>
      </x:c>
      <x:c r="F716" t="str">
        <x:v>Bangalore</x:v>
      </x:c>
      <x:c r="G716" t="str">
        <x:v>Pottery</x:v>
      </x:c>
      <x:c r="H716" t="n">
        <x:v>12</x:v>
      </x:c>
      <x:c r="I716" t="n">
        <x:v>2500</x:v>
      </x:c>
      <x:c r="J716" t="str">
        <x:v>Completed</x:v>
      </x:c>
      <x:c r="K716" t="n">
        <x:f>H716*I716</x:f>
        <x:v>30000</x:v>
      </x:c>
      <x:c r="L716" s="16" t="n">
        <x:f>IF(J716="Completed",K716*0.80,0)</x:f>
        <x:v>24000</x:v>
      </x:c>
      <x:c r="M716" t="n">
        <x:v>4.5</x:v>
      </x:c>
      <x:c r="N716" t="str">
        <x:v>No</x:v>
      </x:c>
      <x:c r="O716" t="str">
        <x:v>Revenue / Enterprise Team</x:v>
      </x:c>
    </x:row>
    <x:row r="717">
      <x:c r="A717" t="str">
        <x:v>CRB5715</x:v>
      </x:c>
      <x:c r="B717" t="str">
        <x:v>2026-07-14</x:v>
      </x:c>
      <x:c r="C717" t="str">
        <x:v>Rahul Mehta</x:v>
      </x:c>
      <x:c r="D717" t="str">
        <x:v>u4365</x:v>
      </x:c>
      <x:c r="E717" t="str">
        <x:v>Direct</x:v>
      </x:c>
      <x:c r="F717" t="str">
        <x:v>Jaipur</x:v>
      </x:c>
      <x:c r="G717" t="str">
        <x:v>Blue Pottery</x:v>
      </x:c>
      <x:c r="H717" t="n">
        <x:v>4</x:v>
      </x:c>
      <x:c r="I717" t="n">
        <x:v>3000</x:v>
      </x:c>
      <x:c r="J717" t="str">
        <x:v>Completed</x:v>
      </x:c>
      <x:c r="K717" t="n">
        <x:f>H717*I717</x:f>
        <x:v>12000</x:v>
      </x:c>
      <x:c r="L717" s="16" t="n">
        <x:f>IF(J717="Completed",K717*0.80,0)</x:f>
        <x:v>9600</x:v>
      </x:c>
      <x:c r="M717" t="n">
        <x:v>4.6</x:v>
      </x:c>
      <x:c r="N717" t="str">
        <x:v>No</x:v>
      </x:c>
      <x:c r="O717" t="str">
        <x:v>Customer Success</x:v>
      </x:c>
    </x:row>
    <x:row r="718">
      <x:c r="A718" t="str">
        <x:v>CRB5716</x:v>
      </x:c>
      <x:c r="B718" t="str">
        <x:v>2026-07-14</x:v>
      </x:c>
      <x:c r="C718" t="str">
        <x:v>Priya Sharma</x:v>
      </x:c>
      <x:c r="D718" t="str">
        <x:v>u4367</x:v>
      </x:c>
      <x:c r="E718" t="str">
        <x:v>Referral</x:v>
      </x:c>
      <x:c r="F718" t="str">
        <x:v>Bangalore</x:v>
      </x:c>
      <x:c r="G718" t="str">
        <x:v>Pottery</x:v>
      </x:c>
      <x:c r="H718" t="n">
        <x:v>4</x:v>
      </x:c>
      <x:c r="I718" t="n">
        <x:v>3000</x:v>
      </x:c>
      <x:c r="J718" t="str">
        <x:v>Completed</x:v>
      </x:c>
      <x:c r="K718" t="n">
        <x:f>H718*I718</x:f>
        <x:v>12000</x:v>
      </x:c>
      <x:c r="L718" s="16" t="n">
        <x:f>IF(J718="Completed",K718*0.80,0)</x:f>
        <x:v>9600</x:v>
      </x:c>
      <x:c r="M718" t="n">
        <x:v>4.6</x:v>
      </x:c>
      <x:c r="N718" t="str">
        <x:v>No</x:v>
      </x:c>
      <x:c r="O718" t="str">
        <x:v>Revenue / Enterprise Team</x:v>
      </x:c>
    </x:row>
    <x:row r="719">
      <x:c r="A719" t="str">
        <x:v>CRB5717</x:v>
      </x:c>
      <x:c r="B719" t="str">
        <x:v>2026-07-14</x:v>
      </x:c>
      <x:c r="C719" t="str">
        <x:v>Priya Sharma</x:v>
      </x:c>
      <x:c r="D719" t="str">
        <x:v>u4368</x:v>
      </x:c>
      <x:c r="E719" t="str">
        <x:v>Travel Blog</x:v>
      </x:c>
      <x:c r="F719" t="str">
        <x:v>Jaipur</x:v>
      </x:c>
      <x:c r="G719" t="str">
        <x:v>Blue Pottery</x:v>
      </x:c>
      <x:c r="H719" t="n">
        <x:v>2</x:v>
      </x:c>
      <x:c r="I719" t="n">
        <x:v>2200</x:v>
      </x:c>
      <x:c r="J719" t="str">
        <x:v>Completed</x:v>
      </x:c>
      <x:c r="K719" t="n">
        <x:f>H719*I719</x:f>
        <x:v>4400</x:v>
      </x:c>
      <x:c r="L719" s="16" t="n">
        <x:f>IF(J719="Completed",K719*0.80,0)</x:f>
        <x:v>3520</x:v>
      </x:c>
      <x:c r="M719" t="n">
        <x:v>5</x:v>
      </x:c>
      <x:c r="N719" t="str">
        <x:v>No</x:v>
      </x:c>
      <x:c r="O719" t="str">
        <x:v>Traveler Success</x:v>
      </x:c>
    </x:row>
    <x:row r="720">
      <x:c r="A720" t="str">
        <x:v>CRB5718</x:v>
      </x:c>
      <x:c r="B720" t="str">
        <x:v>2026-07-14</x:v>
      </x:c>
      <x:c r="C720" t="str">
        <x:v>Rahul Mehta</x:v>
      </x:c>
      <x:c r="D720" t="str">
        <x:v>u4374</x:v>
      </x:c>
      <x:c r="E720" t="str">
        <x:v>Referral</x:v>
      </x:c>
      <x:c r="F720" t="str">
        <x:v>Khurja</x:v>
      </x:c>
      <x:c r="G720" t="str">
        <x:v>Blue Pottery</x:v>
      </x:c>
      <x:c r="H720" t="n">
        <x:v>3</x:v>
      </x:c>
      <x:c r="I720" t="n">
        <x:v>1500</x:v>
      </x:c>
      <x:c r="J720" t="str">
        <x:v>Completed</x:v>
      </x:c>
      <x:c r="K720" t="n">
        <x:f>H720*I720</x:f>
        <x:v>4500</x:v>
      </x:c>
      <x:c r="L720" s="16" t="n">
        <x:f>IF(J720="Completed",K720*0.80,0)</x:f>
        <x:v>3600</x:v>
      </x:c>
      <x:c r="M720" t="n">
        <x:v>4.2</x:v>
      </x:c>
      <x:c r="N720" t="str">
        <x:v>Yes</x:v>
      </x:c>
      <x:c r="O720" t="str">
        <x:v>Traveler Success</x:v>
      </x:c>
    </x:row>
    <x:row r="721">
      <x:c r="A721" t="str">
        <x:v>CRB5719</x:v>
      </x:c>
      <x:c r="B721" t="str">
        <x:v>2026-07-14</x:v>
      </x:c>
      <x:c r="C721" t="str">
        <x:v>Mark Thompson</x:v>
      </x:c>
      <x:c r="D721" t="str">
        <x:v>u4377</x:v>
      </x:c>
      <x:c r="E721" t="str">
        <x:v>Direct</x:v>
      </x:c>
      <x:c r="F721" t="str">
        <x:v>Udaipur</x:v>
      </x:c>
      <x:c r="G721" t="str">
        <x:v>Pottery</x:v>
      </x:c>
      <x:c r="H721" t="n">
        <x:v>2</x:v>
      </x:c>
      <x:c r="I721" t="n">
        <x:v>2000</x:v>
      </x:c>
      <x:c r="J721" t="str">
        <x:v>Completed</x:v>
      </x:c>
      <x:c r="K721" t="n">
        <x:f>H721*I721</x:f>
        <x:v>4000</x:v>
      </x:c>
      <x:c r="L721" s="16" t="n">
        <x:f>IF(J721="Completed",K721*0.80,0)</x:f>
        <x:v>3200</x:v>
      </x:c>
      <x:c r="M721" t="n">
        <x:v>4.7</x:v>
      </x:c>
      <x:c r="N721" t="str">
        <x:v>No</x:v>
      </x:c>
      <x:c r="O721" t="str">
        <x:v>Traveler Success</x:v>
      </x:c>
    </x:row>
    <x:row r="722">
      <x:c r="A722" t="str">
        <x:v>CRB5720</x:v>
      </x:c>
      <x:c r="B722" t="str">
        <x:v>2026-07-14</x:v>
      </x:c>
      <x:c r="C722" t="str">
        <x:v>Ananya Reddy</x:v>
      </x:c>
      <x:c r="D722" t="str">
        <x:v>u4378</x:v>
      </x:c>
      <x:c r="E722" t="str">
        <x:v>Google Search</x:v>
      </x:c>
      <x:c r="F722" t="str">
        <x:v>Jaipur</x:v>
      </x:c>
      <x:c r="G722" t="str">
        <x:v>Blue Pottery</x:v>
      </x:c>
      <x:c r="H722" t="n">
        <x:v>1</x:v>
      </x:c>
      <x:c r="I722" t="n">
        <x:v>2200</x:v>
      </x:c>
      <x:c r="J722" t="str">
        <x:v>Completed</x:v>
      </x:c>
      <x:c r="K722" t="n">
        <x:f>H722*I722</x:f>
        <x:v>2200</x:v>
      </x:c>
      <x:c r="L722" s="16" t="n">
        <x:f>IF(J722="Completed",K722*0.80,0)</x:f>
        <x:v>1760</x:v>
      </x:c>
      <x:c r="M722" t="n">
        <x:v>4.1</x:v>
      </x:c>
      <x:c r="N722" t="str">
        <x:v>Yes</x:v>
      </x:c>
      <x:c r="O722" t="str">
        <x:v>Customer Success</x:v>
      </x:c>
    </x:row>
    <x:row r="723">
      <x:c r="A723" t="str">
        <x:v>CRB5721</x:v>
      </x:c>
      <x:c r="B723" t="str">
        <x:v>2026-07-14</x:v>
      </x:c>
      <x:c r="C723" t="str">
        <x:v>Sofia Martinez</x:v>
      </x:c>
      <x:c r="D723" t="str">
        <x:v>u4384</x:v>
      </x:c>
      <x:c r="E723" t="str">
        <x:v>Google Search</x:v>
      </x:c>
      <x:c r="F723" t="str">
        <x:v>Jaipur</x:v>
      </x:c>
      <x:c r="G723" t="str">
        <x:v>Warli Painting</x:v>
      </x:c>
      <x:c r="H723" t="n">
        <x:v>2</x:v>
      </x:c>
      <x:c r="I723" t="n">
        <x:v>2200</x:v>
      </x:c>
      <x:c r="J723" t="str">
        <x:v>Completed</x:v>
      </x:c>
      <x:c r="K723" t="n">
        <x:f>H723*I723</x:f>
        <x:v>4400</x:v>
      </x:c>
      <x:c r="L723" s="16" t="n">
        <x:f>IF(J723="Completed",K723*0.80,0)</x:f>
        <x:v>3520</x:v>
      </x:c>
      <x:c r="M723" t="n">
        <x:v>4</x:v>
      </x:c>
      <x:c r="N723" t="str">
        <x:v>No</x:v>
      </x:c>
      <x:c r="O723" t="str">
        <x:v>Revenue / Enterprise Team</x:v>
      </x:c>
    </x:row>
    <x:row r="724">
      <x:c r="A724" t="str">
        <x:v>CRB5722</x:v>
      </x:c>
      <x:c r="B724" t="str">
        <x:v>2026-07-14</x:v>
      </x:c>
      <x:c r="C724" t="str">
        <x:v>Priya Sharma</x:v>
      </x:c>
      <x:c r="D724" t="str">
        <x:v>u4389</x:v>
      </x:c>
      <x:c r="E724" t="str">
        <x:v>Instagram</x:v>
      </x:c>
      <x:c r="F724" t="str">
        <x:v>Bangalore</x:v>
      </x:c>
      <x:c r="G724" t="str">
        <x:v>Blue Pottery</x:v>
      </x:c>
      <x:c r="H724" t="n">
        <x:v>10</x:v>
      </x:c>
      <x:c r="I724" t="n">
        <x:v>1800</x:v>
      </x:c>
      <x:c r="J724" t="str">
        <x:v>Completed</x:v>
      </x:c>
      <x:c r="K724" t="n">
        <x:f>H724*I724</x:f>
        <x:v>18000</x:v>
      </x:c>
      <x:c r="L724" s="16" t="n">
        <x:f>IF(J724="Completed",K724*0.80,0)</x:f>
        <x:v>14400</x:v>
      </x:c>
      <x:c r="M724" t="n">
        <x:v>4</x:v>
      </x:c>
      <x:c r="N724" t="str">
        <x:v>No</x:v>
      </x:c>
      <x:c r="O724" t="str">
        <x:v>Revenue / Enterprise Team</x:v>
      </x:c>
    </x:row>
    <x:row r="725">
      <x:c r="A725" t="str">
        <x:v>CRB5723</x:v>
      </x:c>
      <x:c r="B725" t="str">
        <x:v>2026-07-14</x:v>
      </x:c>
      <x:c r="C725" t="str">
        <x:v>Rahul Mehta</x:v>
      </x:c>
      <x:c r="D725" t="str">
        <x:v>u4409</x:v>
      </x:c>
      <x:c r="E725" t="str">
        <x:v>Google Search</x:v>
      </x:c>
      <x:c r="F725" t="str">
        <x:v>Khurja</x:v>
      </x:c>
      <x:c r="G725" t="str">
        <x:v>Block Printing</x:v>
      </x:c>
      <x:c r="H725" t="n">
        <x:v>2</x:v>
      </x:c>
      <x:c r="I725" t="n">
        <x:v>1800</x:v>
      </x:c>
      <x:c r="J725" t="str">
        <x:v>No-show</x:v>
      </x:c>
      <x:c r="K725" t="n">
        <x:f>H725*I725</x:f>
        <x:v>3600</x:v>
      </x:c>
      <x:c r="L725" s="16" t="n">
        <x:f>IF(J725="Completed",K725*0.80,0)</x:f>
        <x:v>0</x:v>
      </x:c>
      <x:c r="M725" t="str"/>
      <x:c r="N725" t="str">
        <x:v>No</x:v>
      </x:c>
      <x:c r="O725" t="str">
        <x:v>Traveler Success</x:v>
      </x:c>
    </x:row>
    <x:row r="726">
      <x:c r="A726" t="str">
        <x:v>CRB5724</x:v>
      </x:c>
      <x:c r="B726" t="str">
        <x:v>2026-07-14</x:v>
      </x:c>
      <x:c r="C726" t="str">
        <x:v>Rahul Mehta</x:v>
      </x:c>
      <x:c r="D726" t="str">
        <x:v>u4417</x:v>
      </x:c>
      <x:c r="E726" t="str">
        <x:v>Referral</x:v>
      </x:c>
      <x:c r="F726" t="str">
        <x:v>Jaipur</x:v>
      </x:c>
      <x:c r="G726" t="str">
        <x:v>Pottery</x:v>
      </x:c>
      <x:c r="H726" t="n">
        <x:v>4</x:v>
      </x:c>
      <x:c r="I726" t="n">
        <x:v>2500</x:v>
      </x:c>
      <x:c r="J726" t="str">
        <x:v>Completed</x:v>
      </x:c>
      <x:c r="K726" t="n">
        <x:f>H726*I726</x:f>
        <x:v>10000</x:v>
      </x:c>
      <x:c r="L726" s="16" t="n">
        <x:f>IF(J726="Completed",K726*0.80,0)</x:f>
        <x:v>8000</x:v>
      </x:c>
      <x:c r="M726" t="n">
        <x:v>4</x:v>
      </x:c>
      <x:c r="N726" t="str">
        <x:v>No</x:v>
      </x:c>
      <x:c r="O726" t="str">
        <x:v>Revenue / Enterprise Team</x:v>
      </x:c>
    </x:row>
    <x:row r="727">
      <x:c r="A727" t="str">
        <x:v>CRB5725</x:v>
      </x:c>
      <x:c r="B727" t="str">
        <x:v>2026-07-14</x:v>
      </x:c>
      <x:c r="C727" t="str">
        <x:v>Ananya Reddy</x:v>
      </x:c>
      <x:c r="D727" t="str">
        <x:v>u4422</x:v>
      </x:c>
      <x:c r="E727" t="str">
        <x:v>Direct</x:v>
      </x:c>
      <x:c r="F727" t="str">
        <x:v>Jaipur</x:v>
      </x:c>
      <x:c r="G727" t="str">
        <x:v>Pottery</x:v>
      </x:c>
      <x:c r="H727" t="n">
        <x:v>12</x:v>
      </x:c>
      <x:c r="I727" t="n">
        <x:v>2000</x:v>
      </x:c>
      <x:c r="J727" t="str">
        <x:v>Completed</x:v>
      </x:c>
      <x:c r="K727" t="n">
        <x:f>H727*I727</x:f>
        <x:v>24000</x:v>
      </x:c>
      <x:c r="L727" s="16" t="n">
        <x:f>IF(J727="Completed",K727*0.80,0)</x:f>
        <x:v>19200</x:v>
      </x:c>
      <x:c r="M727" t="n">
        <x:v>4.5</x:v>
      </x:c>
      <x:c r="N727" t="str">
        <x:v>Yes</x:v>
      </x:c>
      <x:c r="O727" t="str">
        <x:v>Revenue / Enterprise Team</x:v>
      </x:c>
    </x:row>
    <x:row r="728">
      <x:c r="A728" t="str">
        <x:v>CRB5726</x:v>
      </x:c>
      <x:c r="B728" t="str">
        <x:v>2026-07-14</x:v>
      </x:c>
      <x:c r="C728" t="str">
        <x:v>Rahul Mehta</x:v>
      </x:c>
      <x:c r="D728" t="str">
        <x:v>u4430</x:v>
      </x:c>
      <x:c r="E728" t="str">
        <x:v>Direct</x:v>
      </x:c>
      <x:c r="F728" t="str">
        <x:v>Jaipur</x:v>
      </x:c>
      <x:c r="G728" t="str">
        <x:v>Weaving</x:v>
      </x:c>
      <x:c r="H728" t="n">
        <x:v>12</x:v>
      </x:c>
      <x:c r="I728" t="n">
        <x:v>3000</x:v>
      </x:c>
      <x:c r="J728" t="str">
        <x:v>Completed</x:v>
      </x:c>
      <x:c r="K728" t="n">
        <x:f>H728*I728</x:f>
        <x:v>36000</x:v>
      </x:c>
      <x:c r="L728" s="16" t="n">
        <x:f>IF(J728="Completed",K728*0.80,0)</x:f>
        <x:v>28800</x:v>
      </x:c>
      <x:c r="M728" t="n">
        <x:v>3.8</x:v>
      </x:c>
      <x:c r="N728" t="str">
        <x:v>No</x:v>
      </x:c>
      <x:c r="O728" t="str">
        <x:v>Customer Success</x:v>
      </x:c>
    </x:row>
    <x:row r="729">
      <x:c r="A729" t="str">
        <x:v>CRB5727</x:v>
      </x:c>
      <x:c r="B729" t="str">
        <x:v>2026-07-14</x:v>
      </x:c>
      <x:c r="C729" t="str">
        <x:v>Sofia Martinez</x:v>
      </x:c>
      <x:c r="D729" t="str">
        <x:v>u4433</x:v>
      </x:c>
      <x:c r="E729" t="str">
        <x:v>Referral</x:v>
      </x:c>
      <x:c r="F729" t="str">
        <x:v>Udaipur</x:v>
      </x:c>
      <x:c r="G729" t="str">
        <x:v>Weaving</x:v>
      </x:c>
      <x:c r="H729" t="n">
        <x:v>2</x:v>
      </x:c>
      <x:c r="I729" t="n">
        <x:v>3000</x:v>
      </x:c>
      <x:c r="J729" t="str">
        <x:v>Completed</x:v>
      </x:c>
      <x:c r="K729" t="n">
        <x:f>H729*I729</x:f>
        <x:v>6000</x:v>
      </x:c>
      <x:c r="L729" s="16" t="n">
        <x:f>IF(J729="Completed",K729*0.80,0)</x:f>
        <x:v>4800</x:v>
      </x:c>
      <x:c r="M729" t="n">
        <x:v>4.2</x:v>
      </x:c>
      <x:c r="N729" t="str">
        <x:v>Yes</x:v>
      </x:c>
      <x:c r="O729" t="str">
        <x:v>Traveler Success</x:v>
      </x:c>
    </x:row>
    <x:row r="730">
      <x:c r="A730" t="str">
        <x:v>CRB5728</x:v>
      </x:c>
      <x:c r="B730" t="str">
        <x:v>2026-07-14</x:v>
      </x:c>
      <x:c r="C730" t="str">
        <x:v>Sofia Martinez</x:v>
      </x:c>
      <x:c r="D730" t="str">
        <x:v>u4438</x:v>
      </x:c>
      <x:c r="E730" t="str">
        <x:v>Direct</x:v>
      </x:c>
      <x:c r="F730" t="str">
        <x:v>Udaipur</x:v>
      </x:c>
      <x:c r="G730" t="str">
        <x:v>Pottery</x:v>
      </x:c>
      <x:c r="H730" t="n">
        <x:v>2</x:v>
      </x:c>
      <x:c r="I730" t="n">
        <x:v>3500</x:v>
      </x:c>
      <x:c r="J730" t="str">
        <x:v>Completed</x:v>
      </x:c>
      <x:c r="K730" t="n">
        <x:f>H730*I730</x:f>
        <x:v>7000</x:v>
      </x:c>
      <x:c r="L730" s="16" t="n">
        <x:f>IF(J730="Completed",K730*0.80,0)</x:f>
        <x:v>5600</x:v>
      </x:c>
      <x:c r="M730" t="n">
        <x:v>4.1</x:v>
      </x:c>
      <x:c r="N730" t="str">
        <x:v>No</x:v>
      </x:c>
      <x:c r="O730" t="str">
        <x:v>Revenue / Enterprise Team</x:v>
      </x:c>
    </x:row>
    <x:row r="731">
      <x:c r="L731" s="16"/>
    </x:row>
    <x:row r="732">
      <x:c r="L732" s="16"/>
    </x:row>
    <x:row r="733">
      <x:c r="L733" s="16"/>
    </x:row>
    <x:row r="734">
      <x:c r="L734" s="16"/>
    </x:row>
    <x:row r="735">
      <x:c r="L735" s="16"/>
    </x:row>
    <x:row r="736">
      <x:c r="L736" s="16"/>
    </x:row>
    <x:row r="737">
      <x:c r="L737" s="16"/>
    </x:row>
    <x:row r="738">
      <x:c r="L738" s="16"/>
    </x:row>
    <x:row r="739">
      <x:c r="L739" s="16"/>
    </x:row>
    <x:row r="740">
      <x:c r="L740" s="16"/>
    </x:row>
    <x:row r="741">
      <x:c r="L741" s="16"/>
    </x:row>
    <x:row r="742">
      <x:c r="L742" s="16"/>
    </x:row>
    <x:row r="743">
      <x:c r="L743" s="16"/>
    </x:row>
    <x:row r="744">
      <x:c r="L744" s="16"/>
    </x:row>
    <x:row r="745">
      <x:c r="L745" s="16"/>
    </x:row>
    <x:row r="746">
      <x:c r="L746" s="16"/>
    </x:row>
    <x:row r="747">
      <x:c r="L747" s="16"/>
    </x:row>
    <x:row r="748">
      <x:c r="L748" s="16"/>
    </x:row>
    <x:row r="749">
      <x:c r="L749" s="16"/>
    </x:row>
    <x:row r="750">
      <x:c r="L750" s="16"/>
    </x:row>
    <x:row r="751">
      <x:c r="L751" s="16"/>
    </x:row>
    <x:row r="752">
      <x:c r="L752" s="16"/>
    </x:row>
    <x:row r="753">
      <x:c r="L753" s="16"/>
    </x:row>
    <x:row r="754">
      <x:c r="L754" s="16"/>
    </x:row>
    <x:row r="755">
      <x:c r="L755" s="16"/>
    </x:row>
    <x:row r="756">
      <x:c r="L756" s="16"/>
    </x:row>
    <x:row r="757">
      <x:c r="L757" s="16"/>
    </x:row>
    <x:row r="758">
      <x:c r="L758" s="16"/>
    </x:row>
    <x:row r="759">
      <x:c r="L759" s="16"/>
    </x:row>
    <x:row r="760">
      <x:c r="L760" s="16"/>
    </x:row>
    <x:row r="761">
      <x:c r="L761" s="16"/>
    </x:row>
    <x:row r="762">
      <x:c r="L762" s="16"/>
    </x:row>
    <x:row r="763">
      <x:c r="L763" s="16"/>
    </x:row>
    <x:row r="764">
      <x:c r="L764" s="16"/>
    </x:row>
    <x:row r="765">
      <x:c r="L765" s="16"/>
    </x:row>
    <x:row r="766">
      <x:c r="L766" s="16"/>
    </x:row>
    <x:row r="767">
      <x:c r="L767" s="16"/>
    </x:row>
    <x:row r="768">
      <x:c r="L768" s="16"/>
    </x:row>
    <x:row r="769">
      <x:c r="L769" s="16"/>
    </x:row>
    <x:row r="770">
      <x:c r="L770" s="16"/>
    </x:row>
    <x:row r="771">
      <x:c r="L771" s="16"/>
    </x:row>
    <x:row r="772">
      <x:c r="L772" s="16"/>
    </x:row>
    <x:row r="773">
      <x:c r="L773" s="16"/>
    </x:row>
    <x:row r="774">
      <x:c r="L774" s="16"/>
    </x:row>
    <x:row r="775">
      <x:c r="L775" s="16"/>
    </x:row>
    <x:row r="776">
      <x:c r="L776" s="16"/>
    </x:row>
    <x:row r="777">
      <x:c r="L777" s="16"/>
    </x:row>
    <x:row r="778">
      <x:c r="L778" s="16"/>
    </x:row>
    <x:row r="779">
      <x:c r="L779" s="16"/>
    </x:row>
    <x:row r="780">
      <x:c r="L780" s="16"/>
    </x:row>
    <x:row r="781">
      <x:c r="L781" s="16"/>
    </x:row>
    <x:row r="782">
      <x:c r="L782" s="16"/>
    </x:row>
    <x:row r="783">
      <x:c r="L783" s="16"/>
    </x:row>
    <x:row r="784">
      <x:c r="L784" s="16"/>
    </x:row>
    <x:row r="785">
      <x:c r="L785" s="16"/>
    </x:row>
    <x:row r="786">
      <x:c r="L786" s="16"/>
    </x:row>
    <x:row r="787">
      <x:c r="L787" s="16"/>
    </x:row>
    <x:row r="788">
      <x:c r="L788" s="16"/>
    </x:row>
    <x:row r="789">
      <x:c r="L789" s="16"/>
    </x:row>
    <x:row r="790">
      <x:c r="L790" s="16"/>
    </x:row>
    <x:row r="791">
      <x:c r="L791" s="16"/>
    </x:row>
    <x:row r="792">
      <x:c r="L792" s="16"/>
    </x:row>
    <x:row r="793">
      <x:c r="L793" s="16"/>
    </x:row>
    <x:row r="794">
      <x:c r="L794" s="16"/>
    </x:row>
    <x:row r="795">
      <x:c r="L795" s="16"/>
    </x:row>
    <x:row r="796">
      <x:c r="L796" s="16"/>
    </x:row>
    <x:row r="797">
      <x:c r="L797" s="16"/>
    </x:row>
    <x:row r="798">
      <x:c r="L798" s="16"/>
    </x:row>
    <x:row r="799">
      <x:c r="L799" s="16"/>
    </x:row>
    <x:row r="800">
      <x:c r="L800" s="16"/>
    </x:row>
  </x:sheetData>
  <x:pageMargins left="0.7" right="0.7" top="0.75" bottom="0.75" header="0.3" footer="0.3"/>
  <x:tableParts count="1">
    <x:tablePart xmlns:r="http://schemas.openxmlformats.org/officeDocument/2006/relationships" r:id="Rf442783e20594e4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1.6299991607666" hidden="0" customWidth="1"/>
    <x:col min="2" max="2" width="28.1299991607666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</x:cols>
  <x:sheetData>
    <x:row r="1">
      <x:c r="A1" s="6" t="str">
        <x:v>Event Name</x:v>
      </x:c>
      <x:c r="B1" s="6" t="str">
        <x:v>Trigger</x:v>
      </x:c>
      <x:c r="C1" s="6" t="str">
        <x:v>Key Properties</x:v>
      </x:c>
      <x:c r="D1" s="6" t="str">
        <x:v>Business Question</x:v>
      </x:c>
      <x:c r="E1" s="6" t="str">
        <x:v>PostHog View</x:v>
      </x:c>
      <x:c r="F1" s="6" t="str">
        <x:v>Metric Risk</x:v>
      </x:c>
    </x:row>
    <x:row r="2">
      <x:c r="A2" s="20" t="str">
        <x:v>page_view</x:v>
      </x:c>
      <x:c r="B2" s="20" t="str">
        <x:v>Landing page opens</x:v>
      </x:c>
      <x:c r="C2" s="20" t="str">
        <x:v>source, device, city</x:v>
      </x:c>
      <x:c r="D2" s="20" t="str">
        <x:v>Which channels bring visitors?</x:v>
      </x:c>
      <x:c r="E2" s="20" t="str">
        <x:v>Trends</x:v>
      </x:c>
      <x:c r="F2" s="20" t="str">
        <x:v>High visits can hide low intent.</x:v>
      </x:c>
    </x:row>
    <x:row r="3">
      <x:c r="A3" s="20" t="str">
        <x:v>experience_card_viewed</x:v>
      </x:c>
      <x:c r="B3" s="20" t="str">
        <x:v>Visitor opens an experience card</x:v>
      </x:c>
      <x:c r="C3" s="20" t="str">
        <x:v>craft_interest, destination_city, artisan_id</x:v>
      </x:c>
      <x:c r="D3" s="20" t="str">
        <x:v>Which crafts attract demand?</x:v>
      </x:c>
      <x:c r="E3" s="20" t="str">
        <x:v>Trends, Funnels</x:v>
      </x:c>
      <x:c r="F3" s="20" t="str">
        <x:v>Views do not equal booking intent.</x:v>
      </x:c>
    </x:row>
    <x:row r="4">
      <x:c r="A4" s="20" t="str">
        <x:v>search_performed</x:v>
      </x:c>
      <x:c r="B4" s="20" t="str">
        <x:v>Visitor searches by city/craft</x:v>
      </x:c>
      <x:c r="C4" s="20" t="str">
        <x:v>query, destination_city</x:v>
      </x:c>
      <x:c r="D4" s="20" t="str">
        <x:v>What are travelers trying to find?</x:v>
      </x:c>
      <x:c r="E4" s="20" t="str">
        <x:v>Trends</x:v>
      </x:c>
      <x:c r="F4" s="20" t="str">
        <x:v>Misspellings and broad queries can distort demand.</x:v>
      </x:c>
    </x:row>
    <x:row r="5">
      <x:c r="A5" s="20" t="str">
        <x:v>filter_applied</x:v>
      </x:c>
      <x:c r="B5" s="20" t="str">
        <x:v>Filter is applied</x:v>
      </x:c>
      <x:c r="C5" s="20" t="str">
        <x:v>filter_type, filter_value</x:v>
      </x:c>
      <x:c r="D5" s="20" t="str">
        <x:v>Which filters matter for booking confidence?</x:v>
      </x:c>
      <x:c r="E5" s="20" t="str">
        <x:v>Path analysis</x:v>
      </x:c>
      <x:c r="F5" s="20" t="str">
        <x:v>Filters may show confusion, not preference.</x:v>
      </x:c>
    </x:row>
    <x:row r="6">
      <x:c r="A6" s="20" t="str">
        <x:v>booking_started</x:v>
      </x:c>
      <x:c r="B6" s="20" t="str">
        <x:v>Calendar/group/payment flow opens</x:v>
      </x:c>
      <x:c r="C6" s="20" t="str">
        <x:v>craft_interest, group_size, price</x:v>
      </x:c>
      <x:c r="D6" s="20" t="str">
        <x:v>Where does decision intent begin?</x:v>
      </x:c>
      <x:c r="E6" s="20" t="str">
        <x:v>Funnels</x:v>
      </x:c>
      <x:c r="F6" s="20" t="str">
        <x:v>Started booking is not paid booking.</x:v>
      </x:c>
    </x:row>
    <x:row r="7">
      <x:c r="A7" s="20" t="str">
        <x:v>payment_success</x:v>
      </x:c>
      <x:c r="B7" s="20" t="str">
        <x:v>Payment gateway returns success</x:v>
      </x:c>
      <x:c r="C7" s="20" t="str">
        <x:v>amount, method, booking_id</x:v>
      </x:c>
      <x:c r="D7" s="20" t="str">
        <x:v>Is payment causing drop-off?</x:v>
      </x:c>
      <x:c r="E7" s="20" t="str">
        <x:v>Funnels</x:v>
      </x:c>
      <x:c r="F7" s="20" t="str">
        <x:v>Payment success can include later cancellations.</x:v>
      </x:c>
    </x:row>
    <x:row r="8">
      <x:c r="A8" s="20" t="str">
        <x:v>booking_completed</x:v>
      </x:c>
      <x:c r="B8" s="20" t="str">
        <x:v>Workshop marked completed</x:v>
      </x:c>
      <x:c r="C8" s="20" t="str">
        <x:v>artisan_id, city, craft, participants</x:v>
      </x:c>
      <x:c r="D8" s="20" t="str">
        <x:v>What is true monthly active booking volume?</x:v>
      </x:c>
      <x:c r="E8" s="20" t="str">
        <x:v>Trends, Dashboard</x:v>
      </x:c>
      <x:c r="F8" s="20" t="str">
        <x:v>Completed sessions are more reliable than paid bookings.</x:v>
      </x:c>
    </x:row>
    <x:row r="9">
      <x:c r="A9" s="20" t="str">
        <x:v>review_submitted</x:v>
      </x:c>
      <x:c r="B9" s="20" t="str">
        <x:v>Rating/review submitted</x:v>
      </x:c>
      <x:c r="C9" s="20" t="str">
        <x:v>rating, review_text, booking_id</x:v>
      </x:c>
      <x:c r="D9" s="20" t="str">
        <x:v>What is the quality of the experience?</x:v>
      </x:c>
      <x:c r="E9" s="20" t="str">
        <x:v>Surveys, Trends</x:v>
      </x:c>
      <x:c r="F9" s="20" t="str">
        <x:v>Only happy/unhappy extremes may review.</x:v>
      </x:c>
    </x:row>
    <x:row r="10">
      <x:c r="A10" s="20" t="str">
        <x:v>referral_shared</x:v>
      </x:c>
      <x:c r="B10" s="20" t="str">
        <x:v>Referral link shared</x:v>
      </x:c>
      <x:c r="C10" s="20" t="str">
        <x:v>channel, booking_id</x:v>
      </x:c>
      <x:c r="D10" s="20" t="str">
        <x:v>Does the experience create advocacy?</x:v>
      </x:c>
      <x:c r="E10" s="20" t="str">
        <x:v>Trends</x:v>
      </x:c>
      <x:c r="F10" s="20" t="str">
        <x:v>Shares are not always successful referrals.</x:v>
      </x:c>
    </x:row>
    <x:row r="11">
      <x:c r="A11" s="20" t="str">
        <x:v>artisan_availability_updated</x:v>
      </x:c>
      <x:c r="B11" s="20" t="str">
        <x:v>Artisan updates calendar</x:v>
      </x:c>
      <x:c r="C11" s="20" t="str">
        <x:v>artisan_id, city</x:v>
      </x:c>
      <x:c r="D11" s="20" t="str">
        <x:v>Are artisans actively managing inventory?</x:v>
      </x:c>
      <x:c r="E11" s="20" t="str">
        <x:v>Trends</x:v>
      </x:c>
      <x:c r="F11" s="20" t="str">
        <x:v>No update may mean full availability or digital friction.</x:v>
      </x:c>
    </x:row>
  </x:sheetData>
  <x:pageMargins left="0.7" right="0.7" top="0.75" bottom="0.75" header="0.3" footer="0.3"/>
  <x:tableParts count="1">
    <x:tablePart xmlns:r="http://schemas.openxmlformats.org/officeDocument/2006/relationships" r:id="R035afea1f47744a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30.1299991607666" hidden="0" customWidth="1"/>
    <x:col min="3" max="3" width="15.380000114440918" hidden="0" customWidth="1"/>
    <x:col min="4" max="4" width="32" hidden="0" customWidth="1"/>
    <x:col min="5" max="5" width="32" hidden="0" customWidth="1"/>
    <x:col min="6" max="6" width="32" hidden="0" customWidth="1"/>
  </x:cols>
  <x:sheetData>
    <x:row r="1">
      <x:c r="A1" s="6" t="str">
        <x:v>Metric</x:v>
      </x:c>
      <x:c r="B1" s="6" t="str">
        <x:v>Formula / Source</x:v>
      </x:c>
      <x:c r="C1" s="6" t="str">
        <x:v>Owner</x:v>
      </x:c>
      <x:c r="D1" s="6" t="str">
        <x:v>Correct Interpretation</x:v>
      </x:c>
      <x:c r="E1" s="6" t="str">
        <x:v>Misinterpretation Risk</x:v>
      </x:c>
      <x:c r="F1" s="6" t="str">
        <x:v>Decision Rule</x:v>
      </x:c>
    </x:row>
    <x:row r="2">
      <x:c r="A2" s="20" t="str">
        <x:v>Monthly Active Bookings</x:v>
      </x:c>
      <x:c r="B2" s="20" t="str">
        <x:v>Completed sessions per month</x:v>
      </x:c>
      <x:c r="C2" s="20" t="str">
        <x:v>Product</x:v>
      </x:c>
      <x:c r="D2" s="20" t="str">
        <x:v>Most reliable indicator of marketplace activity</x:v>
      </x:c>
      <x:c r="E2" s="20" t="str">
        <x:v>Paid bookings may include cancellations/no-shows</x:v>
      </x:c>
      <x:c r="F2" s="20" t="str">
        <x:v>Track completed sessions, not only payments.</x:v>
      </x:c>
    </x:row>
    <x:row r="3">
      <x:c r="A3" s="20" t="str">
        <x:v>Visitor to Booking Conversion</x:v>
      </x:c>
      <x:c r="B3" s="20" t="str">
        <x:v>booking_completed / page_view</x:v>
      </x:c>
      <x:c r="C3" s="20" t="str">
        <x:v>Growth</x:v>
      </x:c>
      <x:c r="D3" s="20" t="str">
        <x:v>Shows full journey efficiency</x:v>
      </x:c>
      <x:c r="E3" s="20" t="str">
        <x:v>High traffic channels can make conversion look worse</x:v>
      </x:c>
      <x:c r="F3" s="20" t="str">
        <x:v>Segment by source before making channel decisions.</x:v>
      </x:c>
    </x:row>
    <x:row r="4">
      <x:c r="A4" s="20" t="str">
        <x:v>Payment Drop-off</x:v>
      </x:c>
      <x:c r="B4" s="20" t="str">
        <x:v>1 - payment_success / booking_started</x:v>
      </x:c>
      <x:c r="C4" s="20" t="str">
        <x:v>Product + Payments</x:v>
      </x:c>
      <x:c r="D4" s="20" t="str">
        <x:v>Flags payment or trust friction</x:v>
      </x:c>
      <x:c r="E4" s="20" t="str">
        <x:v>Users may abandon because of availability, not payment</x:v>
      </x:c>
      <x:c r="F4" s="20" t="str">
        <x:v>Check payment errors + availability messages together.</x:v>
      </x:c>
    </x:row>
    <x:row r="5">
      <x:c r="A5" s="20" t="str">
        <x:v>Average Rating</x:v>
      </x:c>
      <x:c r="B5" s="20" t="str">
        <x:v>Average rating from completed sessions</x:v>
      </x:c>
      <x:c r="C5" s="20" t="str">
        <x:v>Quality</x:v>
      </x:c>
      <x:c r="D5" s="20" t="str">
        <x:v>Tracks workshop quality</x:v>
      </x:c>
      <x:c r="E5" s="20" t="str">
        <x:v>Only extreme users may review</x:v>
      </x:c>
      <x:c r="F5" s="20" t="str">
        <x:v>Compare with review submission rate.</x:v>
      </x:c>
    </x:row>
    <x:row r="6">
      <x:c r="A6" s="20" t="str">
        <x:v>Artisan Utilization</x:v>
      </x:c>
      <x:c r="B6" s="20" t="str">
        <x:v>Completed sessions / available slots</x:v>
      </x:c>
      <x:c r="C6" s="20" t="str">
        <x:v>Operations</x:v>
      </x:c>
      <x:c r="D6" s="20" t="str">
        <x:v>Shows demand vs supply balance</x:v>
      </x:c>
      <x:c r="E6" s="20" t="str">
        <x:v>Low utilization may mean wrong city/craft, not poor artisan</x:v>
      </x:c>
      <x:c r="F6" s="20" t="str">
        <x:v>Segment by city, craft, and season.</x:v>
      </x:c>
    </x:row>
    <x:row r="7">
      <x:c r="A7" s="20" t="str">
        <x:v>Repeat Booking Rate</x:v>
      </x:c>
      <x:c r="B7" s="20" t="str">
        <x:v>repeat customers / total customers</x:v>
      </x:c>
      <x:c r="C7" s="20" t="str">
        <x:v>Retention</x:v>
      </x:c>
      <x:c r="D7" s="20" t="str">
        <x:v>Shows whether users come back</x:v>
      </x:c>
      <x:c r="E7" s="20" t="str">
        <x:v>Early-stage repeat rate can be naturally low</x:v>
      </x:c>
      <x:c r="F7" s="20" t="str">
        <x:v>Use cohort view after enough time passes.</x:v>
      </x:c>
    </x:row>
    <x:row r="8">
      <x:c r="A8" s="20" t="str">
        <x:v>Referral Share Rate</x:v>
      </x:c>
      <x:c r="B8" s="20" t="str">
        <x:v>referral_shared / booking_completed</x:v>
      </x:c>
      <x:c r="C8" s="20" t="str">
        <x:v>Advocacy</x:v>
      </x:c>
      <x:c r="D8" s="20" t="str">
        <x:v>Shows if people want to recommend CraftRoots</x:v>
      </x:c>
      <x:c r="E8" s="20" t="str">
        <x:v>Shares do not always generate bookings</x:v>
      </x:c>
      <x:c r="F8" s="20" t="str">
        <x:v>Pair with referral conversion.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.880000114440918" hidden="0" customWidth="1"/>
    <x:col min="2" max="2" width="38" hidden="0" customWidth="1"/>
    <x:col min="3" max="3" width="38" hidden="0" customWidth="1"/>
    <x:col min="4" max="4" width="38" hidden="0" customWidth="1"/>
    <x:col min="5" max="5" width="20.5" hidden="0" customWidth="1"/>
  </x:cols>
  <x:sheetData>
    <x:row r="1">
      <x:c r="A1" s="6" t="str">
        <x:v>Week</x:v>
      </x:c>
      <x:c r="B1" s="6" t="str">
        <x:v>Anomaly / Question</x:v>
      </x:c>
      <x:c r="C1" s="6" t="str">
        <x:v>Dify Prompt</x:v>
      </x:c>
      <x:c r="D1" s="6" t="str">
        <x:v>Suggested Action</x:v>
      </x:c>
      <x:c r="E1" s="6" t="str">
        <x:v>Human Validation Needed</x:v>
      </x:c>
    </x:row>
    <x:row r="2">
      <x:c r="A2" s="20" t="str">
        <x:v>W1</x:v>
      </x:c>
      <x:c r="B2" s="20" t="str">
        <x:v>Booking-start to payment success dropped below 70%</x:v>
      </x:c>
      <x:c r="C2" s="20" t="str">
        <x:v>Explain the most likely reasons for payment drop-off using funnel, device, and city segments.</x:v>
      </x:c>
      <x:c r="D2" s="20" t="str">
        <x:v>Check Razorpay failures and availability mismatch before changing pricing.</x:v>
      </x:c>
      <x:c r="E2" s="20" t="str">
        <x:v>Yes</x:v>
      </x:c>
    </x:row>
    <x:row r="3">
      <x:c r="A3" s="20" t="str">
        <x:v>W1</x:v>
      </x:c>
      <x:c r="B3" s="20" t="str">
        <x:v>Jaipur block printing has high views but low booking completion</x:v>
      </x:c>
      <x:c r="C3" s="20" t="str">
        <x:v>Summarize what may be causing craft-card interest without conversion.</x:v>
      </x:c>
      <x:c r="D3" s="20" t="str">
        <x:v>Improve photos, trust score details, and beginner-friendly labels.</x:v>
      </x:c>
      <x:c r="E3" s="20" t="str">
        <x:v>Yes</x:v>
      </x:c>
    </x:row>
    <x:row r="4">
      <x:c r="A4" s="20" t="str">
        <x:v>W2</x:v>
      </x:c>
      <x:c r="B4" s="20" t="str">
        <x:v>Family leads have higher average order value</x:v>
      </x:c>
      <x:c r="C4" s="20" t="str">
        <x:v>Identify common family trip support needs from messages and bookings.</x:v>
      </x:c>
      <x:c r="D4" s="20" t="str">
        <x:v>Add family-friendly and accessibility filters to experience pages.</x:v>
      </x:c>
      <x:c r="E4" s="20" t="str">
        <x:v>Yes</x:v>
      </x:c>
    </x:row>
    <x:row r="5">
      <x:c r="A5" s="20" t="str">
        <x:v>W2</x:v>
      </x:c>
      <x:c r="B5" s="20" t="str">
        <x:v>Artisan utilization in Khurja is lower than Jaipur</x:v>
      </x:c>
      <x:c r="C5" s="20" t="str">
        <x:v>Compare city-level demand and supply constraints.</x:v>
      </x:c>
      <x:c r="D5" s="20" t="str">
        <x:v>Run targeted Google Ads for pottery weekend workshops.</x:v>
      </x:c>
      <x:c r="E5" s="20" t="str">
        <x:v>Yes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35" hidden="0" customWidth="1"/>
    <x:col min="3" max="3" width="35" hidden="0" customWidth="1"/>
    <x:col min="4" max="4" width="35" hidden="0" customWidth="1"/>
  </x:cols>
  <x:sheetData>
    <x:row r="1">
      <x:c r="A1" s="6" t="str">
        <x:v>Step</x:v>
      </x:c>
      <x:c r="B1" s="6" t="str">
        <x:v>Action</x:v>
      </x:c>
      <x:c r="C1" s="6" t="str">
        <x:v>Tool</x:v>
      </x:c>
      <x:c r="D1" s="6" t="str">
        <x:v>Expected Output</x:v>
      </x:c>
    </x:row>
    <x:row r="2">
      <x:c r="A2" s="20" t="n">
        <x:v>1</x:v>
      </x:c>
      <x:c r="B2" s="20" t="str">
        <x:v>Install PostHog or use PostHog Cloud and add JS snippet to CraftRoots pages.</x:v>
      </x:c>
      <x:c r="C2" s="20" t="str">
        <x:v>PostHog</x:v>
      </x:c>
      <x:c r="D2" s="20" t="str">
        <x:v>Events start appearing in PostHog.</x:v>
      </x:c>
    </x:row>
    <x:row r="3">
      <x:c r="A3" s="20" t="n">
        <x:v>2</x:v>
      </x:c>
      <x:c r="B3" s="20" t="str">
        <x:v>Track core events: page_view, experience_card_viewed, booking_started, payment_success, booking_completed, review_submitted.</x:v>
      </x:c>
      <x:c r="C3" s="20" t="str">
        <x:v>PostHog</x:v>
      </x:c>
      <x:c r="D3" s="20" t="str">
        <x:v>Funnel data is captured.</x:v>
      </x:c>
    </x:row>
    <x:row r="4">
      <x:c r="A4" s="20" t="n">
        <x:v>3</x:v>
      </x:c>
      <x:c r="B4" s="20" t="str">
        <x:v>Export or connect PostHog data to the dashboard dataset.</x:v>
      </x:c>
      <x:c r="C4" s="20" t="str">
        <x:v>PostHog / CSV</x:v>
      </x:c>
      <x:c r="D4" s="20" t="str">
        <x:v>Events and bookings are available for analysis.</x:v>
      </x:c>
    </x:row>
    <x:row r="5">
      <x:c r="A5" s="20" t="n">
        <x:v>4</x:v>
      </x:c>
      <x:c r="B5" s="20" t="str">
        <x:v>Build Looker dashboard using the dashboard spec in /looker.</x:v>
      </x:c>
      <x:c r="C5" s="20" t="str">
        <x:v>Looker Studio</x:v>
      </x:c>
      <x:c r="D5" s="20" t="str">
        <x:v>Product insights dashboard is visible.</x:v>
      </x:c>
    </x:row>
    <x:row r="6">
      <x:c r="A6" s="20" t="n">
        <x:v>5</x:v>
      </x:c>
      <x:c r="B6" s="20" t="str">
        <x:v>Upload metric dictionary and sample data to Dify to generate weekly insight summaries.</x:v>
      </x:c>
      <x:c r="C6" s="20" t="str">
        <x:v>Dify</x:v>
      </x:c>
      <x:c r="D6" s="20" t="str">
        <x:v>AI insight explanation with hallucination safeguards.</x:v>
      </x:c>
    </x:row>
    <x:row r="7">
      <x:c r="A7" s="20" t="n">
        <x:v>6</x:v>
      </x:c>
      <x:c r="B7" s="20" t="str">
        <x:v>Validate AI insights manually before acting on product decisions.</x:v>
      </x:c>
      <x:c r="C7" s="20" t="str">
        <x:v>Human Review</x:v>
      </x:c>
      <x:c r="D7" s="20" t="str">
        <x:v>Metric misinterpretation risk is reduced.</x:v>
      </x:c>
    </x:row>
  </x:sheetData>
  <x:pageMargins left="0.7" right="0.7" top="0.75" bottom="0.75" header="0.3" footer="0.3"/>
</x:worksheet>
</file>